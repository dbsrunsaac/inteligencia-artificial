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ELECTIVOS\INTELIGENCIA ARTIFICIAL\inteligencia-artificial\MACHINE LEARNING\EXCEL\"/>
    </mc:Choice>
  </mc:AlternateContent>
  <xr:revisionPtr revIDLastSave="0" documentId="8_{85A2AFB5-EF68-4CFC-8646-F8B55A4B8B36}" xr6:coauthVersionLast="47" xr6:coauthVersionMax="47" xr10:uidLastSave="{00000000-0000-0000-0000-000000000000}"/>
  <bookViews>
    <workbookView xWindow="-108" yWindow="348" windowWidth="23256" windowHeight="12720" xr2:uid="{71EEE6A1-7E2A-48CE-8508-DB8A8DFA51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3" i="1" l="1"/>
  <c r="A108" i="1"/>
  <c r="A103" i="1"/>
  <c r="A98" i="1"/>
  <c r="A93" i="1"/>
  <c r="A88" i="1"/>
  <c r="A83" i="1"/>
  <c r="A78" i="1"/>
  <c r="A73" i="1"/>
  <c r="A68" i="1"/>
  <c r="A63" i="1"/>
  <c r="A58" i="1"/>
  <c r="A53" i="1"/>
  <c r="A48" i="1"/>
  <c r="A43" i="1"/>
  <c r="A38" i="1"/>
  <c r="A33" i="1"/>
  <c r="A28" i="1"/>
  <c r="A23" i="1"/>
  <c r="A18" i="1"/>
  <c r="A13" i="1"/>
  <c r="D13" i="1"/>
  <c r="E13" i="1" s="1"/>
  <c r="F13" i="1" s="1"/>
  <c r="G13" i="1"/>
  <c r="H13" i="1"/>
  <c r="I13" i="1"/>
  <c r="D9" i="1"/>
  <c r="K8" i="1"/>
  <c r="A8" i="1"/>
  <c r="D8" i="1"/>
  <c r="E8" i="1" s="1"/>
  <c r="F8" i="1" s="1"/>
  <c r="I8" i="1"/>
  <c r="H8" i="1"/>
  <c r="G8" i="1"/>
  <c r="D3" i="1"/>
  <c r="E3" i="1" s="1"/>
  <c r="F3" i="1" s="1"/>
  <c r="L13" i="1" l="1"/>
  <c r="I14" i="1" s="1"/>
  <c r="J13" i="1"/>
  <c r="G14" i="1" s="1"/>
  <c r="K13" i="1"/>
  <c r="H14" i="1" s="1"/>
  <c r="H9" i="1"/>
  <c r="L8" i="1"/>
  <c r="I9" i="1" s="1"/>
  <c r="J8" i="1"/>
  <c r="G9" i="1" s="1"/>
  <c r="D14" i="1" l="1"/>
  <c r="E14" i="1" s="1"/>
  <c r="F14" i="1" s="1"/>
  <c r="K14" i="1" s="1"/>
  <c r="H15" i="1" s="1"/>
  <c r="E9" i="1"/>
  <c r="L14" i="1" l="1"/>
  <c r="I15" i="1" s="1"/>
  <c r="J14" i="1"/>
  <c r="G15" i="1" s="1"/>
  <c r="F9" i="1"/>
  <c r="D15" i="1" l="1"/>
  <c r="E15" i="1" s="1"/>
  <c r="F15" i="1" s="1"/>
  <c r="K15" i="1" s="1"/>
  <c r="H16" i="1" s="1"/>
  <c r="L9" i="1"/>
  <c r="I10" i="1" s="1"/>
  <c r="K9" i="1"/>
  <c r="H10" i="1" s="1"/>
  <c r="J9" i="1"/>
  <c r="G10" i="1" s="1"/>
  <c r="D10" i="1" s="1"/>
  <c r="E10" i="1"/>
  <c r="L15" i="1" l="1"/>
  <c r="I16" i="1" s="1"/>
  <c r="J15" i="1"/>
  <c r="G16" i="1" s="1"/>
  <c r="D16" i="1" s="1"/>
  <c r="E16" i="1" s="1"/>
  <c r="F16" i="1" s="1"/>
  <c r="K16" i="1" s="1"/>
  <c r="H18" i="1" s="1"/>
  <c r="F10" i="1"/>
  <c r="L10" i="1" s="1"/>
  <c r="I11" i="1" s="1"/>
  <c r="L16" i="1" l="1"/>
  <c r="I18" i="1" s="1"/>
  <c r="J16" i="1"/>
  <c r="G18" i="1" s="1"/>
  <c r="K10" i="1"/>
  <c r="H11" i="1" s="1"/>
  <c r="J10" i="1"/>
  <c r="G11" i="1" s="1"/>
  <c r="D11" i="1" s="1"/>
  <c r="E11" i="1" s="1"/>
  <c r="F11" i="1" s="1"/>
  <c r="L11" i="1" s="1"/>
  <c r="D18" i="1" l="1"/>
  <c r="E18" i="1" s="1"/>
  <c r="F18" i="1" s="1"/>
  <c r="J18" i="1" s="1"/>
  <c r="G19" i="1" s="1"/>
  <c r="K11" i="1"/>
  <c r="J11" i="1"/>
  <c r="L18" i="1" l="1"/>
  <c r="I19" i="1" s="1"/>
  <c r="K18" i="1"/>
  <c r="H19" i="1" s="1"/>
  <c r="D19" i="1" l="1"/>
  <c r="E19" i="1" s="1"/>
  <c r="F19" i="1" s="1"/>
  <c r="J19" i="1" s="1"/>
  <c r="G20" i="1" s="1"/>
  <c r="D20" i="1" l="1"/>
  <c r="E20" i="1" s="1"/>
  <c r="F20" i="1" s="1"/>
  <c r="J20" i="1" s="1"/>
  <c r="G21" i="1" s="1"/>
  <c r="K19" i="1"/>
  <c r="H20" i="1" s="1"/>
  <c r="L19" i="1"/>
  <c r="I20" i="1" s="1"/>
  <c r="L20" i="1" l="1"/>
  <c r="I21" i="1" s="1"/>
  <c r="K20" i="1"/>
  <c r="H21" i="1" s="1"/>
  <c r="D21" i="1" l="1"/>
  <c r="E21" i="1" s="1"/>
  <c r="F21" i="1" s="1"/>
  <c r="J21" i="1" s="1"/>
  <c r="G23" i="1" s="1"/>
  <c r="K21" i="1" l="1"/>
  <c r="H23" i="1" s="1"/>
  <c r="L21" i="1"/>
  <c r="I23" i="1" s="1"/>
  <c r="D23" i="1" l="1"/>
  <c r="E23" i="1" s="1"/>
  <c r="F23" i="1" s="1"/>
  <c r="L23" i="1" s="1"/>
  <c r="I24" i="1" s="1"/>
  <c r="J23" i="1" l="1"/>
  <c r="G24" i="1" s="1"/>
  <c r="K23" i="1"/>
  <c r="H24" i="1" s="1"/>
  <c r="D24" i="1" l="1"/>
  <c r="E24" i="1" s="1"/>
  <c r="F24" i="1" s="1"/>
  <c r="J24" i="1" l="1"/>
  <c r="G25" i="1" s="1"/>
  <c r="D25" i="1" s="1"/>
  <c r="E25" i="1" s="1"/>
  <c r="F25" i="1" s="1"/>
  <c r="J25" i="1" s="1"/>
  <c r="G26" i="1" s="1"/>
  <c r="L24" i="1"/>
  <c r="I25" i="1" s="1"/>
  <c r="K24" i="1"/>
  <c r="H25" i="1" s="1"/>
  <c r="K25" i="1" l="1"/>
  <c r="H26" i="1" s="1"/>
  <c r="L25" i="1"/>
  <c r="I26" i="1" s="1"/>
  <c r="D26" i="1" l="1"/>
  <c r="E26" i="1" s="1"/>
  <c r="F26" i="1" s="1"/>
  <c r="J26" i="1" s="1"/>
  <c r="G28" i="1" s="1"/>
  <c r="D28" i="1" l="1"/>
  <c r="E28" i="1" s="1"/>
  <c r="F28" i="1" s="1"/>
  <c r="J28" i="1" s="1"/>
  <c r="G29" i="1" s="1"/>
  <c r="L26" i="1"/>
  <c r="I28" i="1" s="1"/>
  <c r="K26" i="1"/>
  <c r="H28" i="1" s="1"/>
  <c r="K28" i="1" l="1"/>
  <c r="H29" i="1" s="1"/>
  <c r="L28" i="1"/>
  <c r="I29" i="1" s="1"/>
  <c r="D29" i="1" l="1"/>
  <c r="E29" i="1" s="1"/>
  <c r="F29" i="1" s="1"/>
  <c r="J29" i="1" s="1"/>
  <c r="G30" i="1" s="1"/>
  <c r="K29" i="1" l="1"/>
  <c r="H30" i="1" s="1"/>
  <c r="L29" i="1"/>
  <c r="I30" i="1" s="1"/>
  <c r="D30" i="1" l="1"/>
  <c r="E30" i="1" s="1"/>
  <c r="F30" i="1" s="1"/>
  <c r="J30" i="1" s="1"/>
  <c r="G31" i="1" s="1"/>
  <c r="K30" i="1" l="1"/>
  <c r="H31" i="1" s="1"/>
  <c r="L30" i="1"/>
  <c r="I31" i="1" s="1"/>
  <c r="D31" i="1" l="1"/>
  <c r="E31" i="1" s="1"/>
  <c r="F31" i="1" s="1"/>
  <c r="J31" i="1" s="1"/>
  <c r="G33" i="1" s="1"/>
  <c r="L31" i="1" l="1"/>
  <c r="I33" i="1" s="1"/>
  <c r="K31" i="1"/>
  <c r="H33" i="1" s="1"/>
  <c r="D33" i="1" l="1"/>
  <c r="E33" i="1" s="1"/>
  <c r="F33" i="1" s="1"/>
  <c r="J33" i="1" s="1"/>
  <c r="G34" i="1" s="1"/>
  <c r="L33" i="1" l="1"/>
  <c r="I34" i="1" s="1"/>
  <c r="K33" i="1"/>
  <c r="H34" i="1" s="1"/>
  <c r="D34" i="1" l="1"/>
  <c r="E34" i="1" s="1"/>
  <c r="F34" i="1" s="1"/>
  <c r="J34" i="1" s="1"/>
  <c r="G35" i="1" s="1"/>
  <c r="L34" i="1" l="1"/>
  <c r="I35" i="1" s="1"/>
  <c r="K34" i="1"/>
  <c r="H35" i="1" s="1"/>
  <c r="D35" i="1" l="1"/>
  <c r="E35" i="1" s="1"/>
  <c r="F35" i="1" s="1"/>
  <c r="J35" i="1" s="1"/>
  <c r="G36" i="1" s="1"/>
  <c r="L35" i="1" l="1"/>
  <c r="I36" i="1" s="1"/>
  <c r="K35" i="1"/>
  <c r="H36" i="1" s="1"/>
  <c r="D36" i="1" l="1"/>
  <c r="E36" i="1" s="1"/>
  <c r="F36" i="1" s="1"/>
  <c r="J36" i="1" s="1"/>
  <c r="G38" i="1" s="1"/>
  <c r="K36" i="1" l="1"/>
  <c r="H38" i="1" s="1"/>
  <c r="L36" i="1"/>
  <c r="I38" i="1" s="1"/>
  <c r="D38" i="1" l="1"/>
  <c r="E38" i="1" s="1"/>
  <c r="F38" i="1" s="1"/>
  <c r="J38" i="1" s="1"/>
  <c r="G39" i="1" s="1"/>
  <c r="K38" i="1" l="1"/>
  <c r="H39" i="1" s="1"/>
  <c r="L38" i="1"/>
  <c r="I39" i="1" s="1"/>
  <c r="D39" i="1" l="1"/>
  <c r="E39" i="1" s="1"/>
  <c r="F39" i="1" s="1"/>
  <c r="J39" i="1" s="1"/>
  <c r="G40" i="1" s="1"/>
  <c r="K39" i="1" l="1"/>
  <c r="H40" i="1" s="1"/>
  <c r="L39" i="1"/>
  <c r="I40" i="1" s="1"/>
  <c r="D40" i="1" l="1"/>
  <c r="E40" i="1" s="1"/>
  <c r="F40" i="1" s="1"/>
  <c r="J40" i="1" s="1"/>
  <c r="G41" i="1" s="1"/>
  <c r="K40" i="1" l="1"/>
  <c r="H41" i="1" s="1"/>
  <c r="L40" i="1"/>
  <c r="I41" i="1" s="1"/>
  <c r="D41" i="1" l="1"/>
  <c r="E41" i="1" s="1"/>
  <c r="F41" i="1" s="1"/>
  <c r="J41" i="1" s="1"/>
  <c r="G43" i="1" s="1"/>
  <c r="K41" i="1" l="1"/>
  <c r="H43" i="1" s="1"/>
  <c r="L41" i="1"/>
  <c r="I43" i="1" s="1"/>
  <c r="D43" i="1" l="1"/>
  <c r="E43" i="1" s="1"/>
  <c r="F43" i="1" s="1"/>
  <c r="J43" i="1" s="1"/>
  <c r="G44" i="1" s="1"/>
  <c r="K43" i="1" l="1"/>
  <c r="H44" i="1" s="1"/>
  <c r="L43" i="1"/>
  <c r="I44" i="1" s="1"/>
  <c r="D44" i="1" l="1"/>
  <c r="E44" i="1" s="1"/>
  <c r="F44" i="1" s="1"/>
  <c r="J44" i="1" s="1"/>
  <c r="G45" i="1" s="1"/>
  <c r="L44" i="1" l="1"/>
  <c r="I45" i="1" s="1"/>
  <c r="K44" i="1"/>
  <c r="H45" i="1" s="1"/>
  <c r="D45" i="1" s="1"/>
  <c r="E45" i="1" s="1"/>
  <c r="F45" i="1" s="1"/>
  <c r="J45" i="1" s="1"/>
  <c r="G46" i="1" s="1"/>
  <c r="L45" i="1" l="1"/>
  <c r="I46" i="1" s="1"/>
  <c r="K45" i="1"/>
  <c r="H46" i="1" s="1"/>
  <c r="D46" i="1" l="1"/>
  <c r="E46" i="1" s="1"/>
  <c r="F46" i="1" s="1"/>
  <c r="J46" i="1" s="1"/>
  <c r="G48" i="1" s="1"/>
  <c r="K46" i="1" l="1"/>
  <c r="H48" i="1" s="1"/>
  <c r="L46" i="1"/>
  <c r="I48" i="1" s="1"/>
  <c r="D48" i="1" l="1"/>
  <c r="E48" i="1" s="1"/>
  <c r="F48" i="1" s="1"/>
  <c r="J48" i="1" s="1"/>
  <c r="G49" i="1" s="1"/>
  <c r="K48" i="1" l="1"/>
  <c r="H49" i="1" s="1"/>
  <c r="L48" i="1"/>
  <c r="I49" i="1" s="1"/>
  <c r="D49" i="1" l="1"/>
  <c r="E49" i="1" s="1"/>
  <c r="F49" i="1" s="1"/>
  <c r="J49" i="1" s="1"/>
  <c r="G50" i="1" s="1"/>
  <c r="L49" i="1" l="1"/>
  <c r="I50" i="1" s="1"/>
  <c r="K49" i="1"/>
  <c r="H50" i="1" s="1"/>
  <c r="D50" i="1" l="1"/>
  <c r="E50" i="1" s="1"/>
  <c r="F50" i="1" s="1"/>
  <c r="K50" i="1" s="1"/>
  <c r="H51" i="1" s="1"/>
  <c r="J50" i="1" l="1"/>
  <c r="G51" i="1" s="1"/>
  <c r="L50" i="1"/>
  <c r="I51" i="1" s="1"/>
  <c r="D51" i="1" l="1"/>
  <c r="E51" i="1" s="1"/>
  <c r="F51" i="1" s="1"/>
  <c r="J51" i="1" s="1"/>
  <c r="G53" i="1" s="1"/>
  <c r="K51" i="1" l="1"/>
  <c r="H53" i="1" s="1"/>
  <c r="L51" i="1"/>
  <c r="I53" i="1" s="1"/>
  <c r="D53" i="1" l="1"/>
  <c r="E53" i="1" s="1"/>
  <c r="F53" i="1" s="1"/>
  <c r="L53" i="1" l="1"/>
  <c r="I54" i="1" s="1"/>
  <c r="J53" i="1"/>
  <c r="G54" i="1" s="1"/>
  <c r="K53" i="1"/>
  <c r="H54" i="1" s="1"/>
  <c r="D54" i="1" l="1"/>
  <c r="E54" i="1" s="1"/>
  <c r="F54" i="1" s="1"/>
  <c r="J54" i="1" s="1"/>
  <c r="G55" i="1" s="1"/>
  <c r="K54" i="1" l="1"/>
  <c r="H55" i="1" s="1"/>
  <c r="L54" i="1"/>
  <c r="I55" i="1" s="1"/>
  <c r="D55" i="1" l="1"/>
  <c r="E55" i="1" s="1"/>
  <c r="F55" i="1" s="1"/>
  <c r="L55" i="1" s="1"/>
  <c r="I56" i="1" s="1"/>
  <c r="K55" i="1" l="1"/>
  <c r="H56" i="1" s="1"/>
  <c r="J55" i="1"/>
  <c r="G56" i="1" s="1"/>
  <c r="D56" i="1" s="1"/>
  <c r="E56" i="1" s="1"/>
  <c r="F56" i="1" s="1"/>
  <c r="K56" i="1" s="1"/>
  <c r="H58" i="1" s="1"/>
  <c r="J56" i="1" l="1"/>
  <c r="G58" i="1" s="1"/>
  <c r="L56" i="1"/>
  <c r="I58" i="1" s="1"/>
  <c r="D58" i="1" l="1"/>
  <c r="E58" i="1" s="1"/>
  <c r="F58" i="1" s="1"/>
  <c r="J58" i="1" l="1"/>
  <c r="G59" i="1" s="1"/>
  <c r="K58" i="1"/>
  <c r="H59" i="1" s="1"/>
  <c r="L58" i="1"/>
  <c r="I59" i="1" s="1"/>
  <c r="D59" i="1" l="1"/>
  <c r="E59" i="1" s="1"/>
  <c r="F59" i="1" s="1"/>
  <c r="J59" i="1" l="1"/>
  <c r="G60" i="1" s="1"/>
  <c r="L59" i="1"/>
  <c r="I60" i="1" s="1"/>
  <c r="K59" i="1"/>
  <c r="H60" i="1" s="1"/>
  <c r="D60" i="1" l="1"/>
  <c r="E60" i="1" s="1"/>
  <c r="F60" i="1" s="1"/>
  <c r="J60" i="1" l="1"/>
  <c r="G61" i="1" s="1"/>
  <c r="K60" i="1"/>
  <c r="H61" i="1" s="1"/>
  <c r="L60" i="1"/>
  <c r="I61" i="1" s="1"/>
  <c r="D61" i="1" l="1"/>
  <c r="E61" i="1" s="1"/>
  <c r="F61" i="1" s="1"/>
  <c r="J61" i="1" s="1"/>
  <c r="G63" i="1" s="1"/>
  <c r="L61" i="1" l="1"/>
  <c r="I63" i="1" s="1"/>
  <c r="K61" i="1"/>
  <c r="H63" i="1" s="1"/>
  <c r="D63" i="1" s="1"/>
  <c r="E63" i="1" s="1"/>
  <c r="F63" i="1" s="1"/>
  <c r="J63" i="1" s="1"/>
  <c r="G64" i="1" s="1"/>
  <c r="L63" i="1" l="1"/>
  <c r="I64" i="1" s="1"/>
  <c r="K63" i="1"/>
  <c r="H64" i="1" s="1"/>
  <c r="D64" i="1" s="1"/>
  <c r="E64" i="1" s="1"/>
  <c r="F64" i="1" s="1"/>
  <c r="J64" i="1" s="1"/>
  <c r="G65" i="1" s="1"/>
  <c r="L64" i="1" l="1"/>
  <c r="I65" i="1" s="1"/>
  <c r="K64" i="1"/>
  <c r="H65" i="1" s="1"/>
  <c r="D65" i="1" l="1"/>
  <c r="E65" i="1" s="1"/>
  <c r="F65" i="1" s="1"/>
  <c r="J65" i="1" s="1"/>
  <c r="G66" i="1" s="1"/>
  <c r="L65" i="1" l="1"/>
  <c r="I66" i="1" s="1"/>
  <c r="K65" i="1"/>
  <c r="H66" i="1" s="1"/>
  <c r="D66" i="1" l="1"/>
  <c r="E66" i="1" s="1"/>
  <c r="F66" i="1" s="1"/>
  <c r="J66" i="1" s="1"/>
  <c r="G68" i="1" s="1"/>
  <c r="L66" i="1" l="1"/>
  <c r="I68" i="1" s="1"/>
  <c r="K66" i="1"/>
  <c r="H68" i="1" s="1"/>
  <c r="D68" i="1" l="1"/>
  <c r="E68" i="1" s="1"/>
  <c r="F68" i="1" s="1"/>
  <c r="J68" i="1" s="1"/>
  <c r="G69" i="1" s="1"/>
  <c r="L68" i="1" l="1"/>
  <c r="I69" i="1" s="1"/>
  <c r="K68" i="1"/>
  <c r="H69" i="1" s="1"/>
  <c r="D69" i="1" l="1"/>
  <c r="E69" i="1" s="1"/>
  <c r="F69" i="1" s="1"/>
  <c r="J69" i="1" s="1"/>
  <c r="G70" i="1" s="1"/>
  <c r="L69" i="1" l="1"/>
  <c r="I70" i="1" s="1"/>
  <c r="K69" i="1"/>
  <c r="H70" i="1" s="1"/>
  <c r="D70" i="1" l="1"/>
  <c r="E70" i="1" s="1"/>
  <c r="F70" i="1" s="1"/>
  <c r="J70" i="1" s="1"/>
  <c r="G71" i="1" s="1"/>
  <c r="L70" i="1" l="1"/>
  <c r="I71" i="1" s="1"/>
  <c r="K70" i="1"/>
  <c r="H71" i="1" s="1"/>
  <c r="D71" i="1" l="1"/>
  <c r="E71" i="1" s="1"/>
  <c r="F71" i="1" s="1"/>
  <c r="J71" i="1" s="1"/>
  <c r="G73" i="1" s="1"/>
  <c r="L71" i="1" l="1"/>
  <c r="I73" i="1" s="1"/>
  <c r="K71" i="1"/>
  <c r="H73" i="1" s="1"/>
  <c r="D73" i="1" l="1"/>
  <c r="E73" i="1" s="1"/>
  <c r="F73" i="1" s="1"/>
  <c r="J73" i="1" s="1"/>
  <c r="G74" i="1" s="1"/>
  <c r="L73" i="1" l="1"/>
  <c r="I74" i="1" s="1"/>
  <c r="K73" i="1"/>
  <c r="H74" i="1" s="1"/>
  <c r="D74" i="1" l="1"/>
  <c r="E74" i="1" s="1"/>
  <c r="F74" i="1" s="1"/>
  <c r="J74" i="1" s="1"/>
  <c r="G75" i="1" s="1"/>
  <c r="L74" i="1" l="1"/>
  <c r="I75" i="1" s="1"/>
  <c r="K74" i="1"/>
  <c r="H75" i="1" s="1"/>
  <c r="D75" i="1" l="1"/>
  <c r="E75" i="1" s="1"/>
  <c r="F75" i="1" s="1"/>
  <c r="J75" i="1" s="1"/>
  <c r="G76" i="1" s="1"/>
  <c r="L75" i="1" l="1"/>
  <c r="I76" i="1" s="1"/>
  <c r="K75" i="1"/>
  <c r="H76" i="1" s="1"/>
  <c r="D76" i="1" l="1"/>
  <c r="E76" i="1" s="1"/>
  <c r="F76" i="1" s="1"/>
  <c r="J76" i="1" s="1"/>
  <c r="G78" i="1" s="1"/>
  <c r="L76" i="1" l="1"/>
  <c r="I78" i="1" s="1"/>
  <c r="K76" i="1"/>
  <c r="H78" i="1" s="1"/>
  <c r="D78" i="1" l="1"/>
  <c r="E78" i="1" s="1"/>
  <c r="F78" i="1" s="1"/>
  <c r="J78" i="1" s="1"/>
  <c r="G79" i="1" s="1"/>
  <c r="L78" i="1" l="1"/>
  <c r="I79" i="1" s="1"/>
  <c r="K78" i="1"/>
  <c r="H79" i="1" s="1"/>
  <c r="D79" i="1" l="1"/>
  <c r="E79" i="1" s="1"/>
  <c r="F79" i="1" s="1"/>
  <c r="J79" i="1" s="1"/>
  <c r="G80" i="1" s="1"/>
  <c r="L79" i="1" l="1"/>
  <c r="I80" i="1" s="1"/>
  <c r="K79" i="1"/>
  <c r="H80" i="1" s="1"/>
  <c r="D80" i="1" l="1"/>
  <c r="E80" i="1" s="1"/>
  <c r="F80" i="1" s="1"/>
  <c r="J80" i="1" s="1"/>
  <c r="G81" i="1" s="1"/>
  <c r="L80" i="1" l="1"/>
  <c r="I81" i="1" s="1"/>
  <c r="K80" i="1"/>
  <c r="H81" i="1" s="1"/>
  <c r="D81" i="1" l="1"/>
  <c r="E81" i="1" s="1"/>
  <c r="F81" i="1" s="1"/>
  <c r="J81" i="1" s="1"/>
  <c r="G83" i="1" s="1"/>
  <c r="L81" i="1" l="1"/>
  <c r="I83" i="1" s="1"/>
  <c r="K81" i="1"/>
  <c r="H83" i="1" s="1"/>
  <c r="D83" i="1" l="1"/>
  <c r="E83" i="1" s="1"/>
  <c r="F83" i="1" s="1"/>
  <c r="J83" i="1" s="1"/>
  <c r="G84" i="1" s="1"/>
  <c r="L83" i="1" l="1"/>
  <c r="I84" i="1" s="1"/>
  <c r="K83" i="1"/>
  <c r="H84" i="1" s="1"/>
  <c r="D84" i="1" l="1"/>
  <c r="E84" i="1" s="1"/>
  <c r="F84" i="1" s="1"/>
  <c r="J84" i="1" s="1"/>
  <c r="G85" i="1" s="1"/>
  <c r="L84" i="1" l="1"/>
  <c r="I85" i="1" s="1"/>
  <c r="K84" i="1"/>
  <c r="H85" i="1" s="1"/>
  <c r="D85" i="1" l="1"/>
  <c r="E85" i="1" s="1"/>
  <c r="F85" i="1" s="1"/>
  <c r="J85" i="1" s="1"/>
  <c r="G86" i="1" s="1"/>
  <c r="L85" i="1" l="1"/>
  <c r="I86" i="1" s="1"/>
  <c r="K85" i="1"/>
  <c r="H86" i="1" s="1"/>
  <c r="D86" i="1" l="1"/>
  <c r="E86" i="1" s="1"/>
  <c r="F86" i="1" s="1"/>
  <c r="L86" i="1" l="1"/>
  <c r="I88" i="1" s="1"/>
  <c r="J86" i="1"/>
  <c r="G88" i="1" s="1"/>
  <c r="K86" i="1"/>
  <c r="H88" i="1" s="1"/>
  <c r="D88" i="1" l="1"/>
  <c r="E88" i="1" s="1"/>
  <c r="F88" i="1" s="1"/>
  <c r="K88" i="1" s="1"/>
  <c r="H89" i="1" s="1"/>
  <c r="J88" i="1" l="1"/>
  <c r="G89" i="1" s="1"/>
  <c r="L88" i="1"/>
  <c r="I89" i="1" s="1"/>
  <c r="D89" i="1" l="1"/>
  <c r="E89" i="1" s="1"/>
  <c r="F89" i="1" s="1"/>
  <c r="L89" i="1" s="1"/>
  <c r="I90" i="1" s="1"/>
  <c r="J89" i="1" l="1"/>
  <c r="G90" i="1" s="1"/>
  <c r="K89" i="1"/>
  <c r="H90" i="1" s="1"/>
  <c r="D90" i="1" l="1"/>
  <c r="E90" i="1" s="1"/>
  <c r="F90" i="1" s="1"/>
  <c r="J90" i="1"/>
  <c r="G91" i="1" s="1"/>
  <c r="L90" i="1"/>
  <c r="I91" i="1" s="1"/>
  <c r="K90" i="1"/>
  <c r="H91" i="1" s="1"/>
  <c r="D91" i="1" l="1"/>
  <c r="E91" i="1" s="1"/>
  <c r="F91" i="1" s="1"/>
  <c r="K91" i="1" s="1"/>
  <c r="H93" i="1" s="1"/>
  <c r="J91" i="1" l="1"/>
  <c r="G93" i="1" s="1"/>
  <c r="L91" i="1"/>
  <c r="I93" i="1" s="1"/>
  <c r="D93" i="1" l="1"/>
  <c r="E93" i="1" s="1"/>
  <c r="F93" i="1" s="1"/>
  <c r="J93" i="1" l="1"/>
  <c r="G94" i="1" s="1"/>
  <c r="K93" i="1"/>
  <c r="H94" i="1" s="1"/>
  <c r="L93" i="1"/>
  <c r="I94" i="1" s="1"/>
  <c r="D94" i="1" l="1"/>
  <c r="E94" i="1" s="1"/>
  <c r="F94" i="1" s="1"/>
  <c r="L94" i="1" s="1"/>
  <c r="I95" i="1" s="1"/>
  <c r="J94" i="1" l="1"/>
  <c r="G95" i="1" s="1"/>
  <c r="K94" i="1"/>
  <c r="H95" i="1" s="1"/>
  <c r="D95" i="1" l="1"/>
  <c r="E95" i="1" s="1"/>
  <c r="F95" i="1" s="1"/>
  <c r="K95" i="1" s="1"/>
  <c r="H96" i="1" s="1"/>
  <c r="J95" i="1" l="1"/>
  <c r="G96" i="1" s="1"/>
  <c r="L95" i="1"/>
  <c r="I96" i="1" s="1"/>
  <c r="D96" i="1" l="1"/>
  <c r="E96" i="1" s="1"/>
  <c r="F96" i="1" s="1"/>
  <c r="K96" i="1" s="1"/>
  <c r="H98" i="1" s="1"/>
  <c r="J96" i="1" l="1"/>
  <c r="G98" i="1" s="1"/>
  <c r="L96" i="1"/>
  <c r="I98" i="1" s="1"/>
  <c r="D98" i="1" l="1"/>
  <c r="E98" i="1" s="1"/>
  <c r="F98" i="1" s="1"/>
  <c r="K98" i="1" l="1"/>
  <c r="H99" i="1" s="1"/>
  <c r="J98" i="1"/>
  <c r="G99" i="1" s="1"/>
  <c r="L98" i="1"/>
  <c r="I99" i="1" s="1"/>
  <c r="D99" i="1" l="1"/>
  <c r="E99" i="1" s="1"/>
  <c r="F99" i="1" s="1"/>
  <c r="L99" i="1" s="1"/>
  <c r="I100" i="1" s="1"/>
  <c r="K99" i="1" l="1"/>
  <c r="H100" i="1" s="1"/>
  <c r="J99" i="1"/>
  <c r="G100" i="1" s="1"/>
  <c r="D100" i="1" l="1"/>
  <c r="E100" i="1" s="1"/>
  <c r="F100" i="1" s="1"/>
  <c r="L100" i="1" s="1"/>
  <c r="I101" i="1" s="1"/>
  <c r="K100" i="1" l="1"/>
  <c r="H101" i="1" s="1"/>
  <c r="J100" i="1"/>
  <c r="G101" i="1" s="1"/>
  <c r="D101" i="1" l="1"/>
  <c r="E101" i="1" s="1"/>
  <c r="F101" i="1" s="1"/>
  <c r="J101" i="1" s="1"/>
  <c r="G103" i="1" s="1"/>
  <c r="L101" i="1" l="1"/>
  <c r="I103" i="1" s="1"/>
  <c r="K101" i="1"/>
  <c r="H103" i="1" s="1"/>
  <c r="D103" i="1"/>
  <c r="E103" i="1" s="1"/>
  <c r="F103" i="1" s="1"/>
  <c r="L103" i="1" l="1"/>
  <c r="I104" i="1" s="1"/>
  <c r="J103" i="1"/>
  <c r="G104" i="1" s="1"/>
  <c r="K103" i="1"/>
  <c r="H104" i="1" s="1"/>
  <c r="D104" i="1" l="1"/>
  <c r="E104" i="1" s="1"/>
  <c r="F104" i="1" s="1"/>
  <c r="K104" i="1" s="1"/>
  <c r="H105" i="1" s="1"/>
  <c r="L104" i="1" l="1"/>
  <c r="I105" i="1" s="1"/>
  <c r="J104" i="1"/>
  <c r="G105" i="1" s="1"/>
  <c r="D105" i="1" l="1"/>
  <c r="E105" i="1" s="1"/>
  <c r="F105" i="1" s="1"/>
  <c r="J105" i="1" s="1"/>
  <c r="G106" i="1" s="1"/>
  <c r="K105" i="1"/>
  <c r="H106" i="1" s="1"/>
  <c r="L105" i="1" l="1"/>
  <c r="I106" i="1" s="1"/>
  <c r="D106" i="1"/>
  <c r="E106" i="1" s="1"/>
  <c r="F106" i="1" s="1"/>
  <c r="L106" i="1" s="1"/>
  <c r="I108" i="1" s="1"/>
  <c r="J106" i="1" l="1"/>
  <c r="G108" i="1" s="1"/>
  <c r="K106" i="1"/>
  <c r="H108" i="1" s="1"/>
  <c r="D108" i="1" l="1"/>
  <c r="E108" i="1" s="1"/>
  <c r="F108" i="1" s="1"/>
  <c r="L108" i="1" s="1"/>
  <c r="I109" i="1" s="1"/>
  <c r="J108" i="1" l="1"/>
  <c r="G109" i="1" s="1"/>
  <c r="K108" i="1"/>
  <c r="H109" i="1" s="1"/>
  <c r="D109" i="1" l="1"/>
  <c r="E109" i="1" s="1"/>
  <c r="F109" i="1" s="1"/>
  <c r="L109" i="1" l="1"/>
  <c r="I110" i="1" s="1"/>
  <c r="J109" i="1"/>
  <c r="G110" i="1" s="1"/>
  <c r="K109" i="1"/>
  <c r="H110" i="1" s="1"/>
  <c r="D110" i="1" l="1"/>
  <c r="E110" i="1" s="1"/>
  <c r="F110" i="1" s="1"/>
  <c r="L110" i="1" l="1"/>
  <c r="I111" i="1" s="1"/>
  <c r="J110" i="1"/>
  <c r="G111" i="1" s="1"/>
  <c r="K110" i="1"/>
  <c r="H111" i="1" s="1"/>
  <c r="D111" i="1" l="1"/>
  <c r="E111" i="1" s="1"/>
  <c r="F111" i="1" s="1"/>
  <c r="K111" i="1" l="1"/>
  <c r="H113" i="1" s="1"/>
  <c r="J111" i="1"/>
  <c r="G113" i="1" s="1"/>
  <c r="L111" i="1"/>
  <c r="I113" i="1" s="1"/>
  <c r="D113" i="1" l="1"/>
  <c r="E113" i="1" s="1"/>
  <c r="F113" i="1" s="1"/>
  <c r="K113" i="1" l="1"/>
  <c r="H114" i="1" s="1"/>
  <c r="J113" i="1"/>
  <c r="G114" i="1" s="1"/>
  <c r="L113" i="1"/>
  <c r="I114" i="1" s="1"/>
  <c r="D114" i="1" l="1"/>
  <c r="E114" i="1" s="1"/>
  <c r="F114" i="1" s="1"/>
  <c r="J114" i="1" l="1"/>
  <c r="G115" i="1" s="1"/>
  <c r="L114" i="1"/>
  <c r="I115" i="1" s="1"/>
  <c r="K114" i="1"/>
  <c r="H115" i="1" s="1"/>
  <c r="D115" i="1" l="1"/>
  <c r="E115" i="1" s="1"/>
  <c r="F115" i="1" s="1"/>
  <c r="K115" i="1" s="1"/>
  <c r="H116" i="1" s="1"/>
  <c r="J115" i="1" l="1"/>
  <c r="G116" i="1" s="1"/>
  <c r="L115" i="1"/>
  <c r="I116" i="1" s="1"/>
  <c r="D116" i="1" l="1"/>
  <c r="E116" i="1" s="1"/>
  <c r="F116" i="1" s="1"/>
  <c r="K116" i="1" s="1"/>
  <c r="J116" i="1" l="1"/>
  <c r="L116" i="1"/>
</calcChain>
</file>

<file path=xl/sharedStrings.xml><?xml version="1.0" encoding="utf-8"?>
<sst xmlns="http://schemas.openxmlformats.org/spreadsheetml/2006/main" count="35" uniqueCount="35">
  <si>
    <t>f(x)</t>
  </si>
  <si>
    <t>x</t>
  </si>
  <si>
    <t>e</t>
  </si>
  <si>
    <t>w1</t>
  </si>
  <si>
    <t>x1</t>
  </si>
  <si>
    <t>x2</t>
  </si>
  <si>
    <t>y</t>
  </si>
  <si>
    <t>w1(t+1)</t>
  </si>
  <si>
    <t>w2(t+1)</t>
  </si>
  <si>
    <t>b(t+1)</t>
  </si>
  <si>
    <t>w2</t>
  </si>
  <si>
    <t>b</t>
  </si>
  <si>
    <t>Epoca 5</t>
  </si>
  <si>
    <t>Epoca 6</t>
  </si>
  <si>
    <t>Epoca 7</t>
  </si>
  <si>
    <t>Epoca 8</t>
  </si>
  <si>
    <t>Epoca 9</t>
  </si>
  <si>
    <t>Epoca 10</t>
  </si>
  <si>
    <t>Epoca 11</t>
  </si>
  <si>
    <t>Epoca 12</t>
  </si>
  <si>
    <t>Epoca 13</t>
  </si>
  <si>
    <t>Epoca 14</t>
  </si>
  <si>
    <t>Epoca 15</t>
  </si>
  <si>
    <t>Epoca 16</t>
  </si>
  <si>
    <t>Epoca 17</t>
  </si>
  <si>
    <t>Epoca 18</t>
  </si>
  <si>
    <t>Epoca 19</t>
  </si>
  <si>
    <t>Epoca 20</t>
  </si>
  <si>
    <t>Epoca 21</t>
  </si>
  <si>
    <t>Epoca 22</t>
  </si>
  <si>
    <t>Epoca 23</t>
  </si>
  <si>
    <t>Epoca 24</t>
  </si>
  <si>
    <t>Epoca 25</t>
  </si>
  <si>
    <t>Epoca 26</t>
  </si>
  <si>
    <t>Epoca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</si>
</sst>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"/>
    <numFmt numFmtId="169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DE80-3107-4C99-9C83-9080FDF2AAD5}">
  <dimension ref="A1:L122"/>
  <sheetViews>
    <sheetView tabSelected="1" workbookViewId="0">
      <selection activeCell="E10" sqref="E10"/>
    </sheetView>
  </sheetViews>
  <sheetFormatPr baseColWidth="10" defaultRowHeight="14.4" x14ac:dyDescent="0.3"/>
  <cols>
    <col min="4" max="4" width="13.5546875" bestFit="1" customWidth="1"/>
  </cols>
  <sheetData>
    <row r="1" spans="1:12" x14ac:dyDescent="0.3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t="s">
        <v>4</v>
      </c>
      <c r="B2" t="s">
        <v>5</v>
      </c>
      <c r="C2" t="s">
        <v>6</v>
      </c>
      <c r="D2" t="s">
        <v>1</v>
      </c>
      <c r="E2" t="s">
        <v>0</v>
      </c>
      <c r="F2" t="s">
        <v>2</v>
      </c>
      <c r="G2" t="s">
        <v>3</v>
      </c>
      <c r="H2" t="s">
        <v>10</v>
      </c>
      <c r="I2" t="s">
        <v>11</v>
      </c>
      <c r="J2" t="s">
        <v>7</v>
      </c>
      <c r="K2" t="s">
        <v>8</v>
      </c>
      <c r="L2" t="s">
        <v>9</v>
      </c>
    </row>
    <row r="3" spans="1:12" x14ac:dyDescent="0.3">
      <c r="A3">
        <v>0</v>
      </c>
      <c r="B3">
        <v>0</v>
      </c>
      <c r="C3">
        <v>0</v>
      </c>
      <c r="D3">
        <f>0.9866+1.7619+0.6642</f>
        <v>3.4127000000000001</v>
      </c>
      <c r="E3">
        <f>1/(1+EXP(-D3))</f>
        <v>0.96809909272667038</v>
      </c>
      <c r="F3">
        <f>1-E3</f>
        <v>3.1900907273329615E-2</v>
      </c>
    </row>
    <row r="4" spans="1:12" x14ac:dyDescent="0.3">
      <c r="A4">
        <v>0</v>
      </c>
      <c r="B4">
        <v>1</v>
      </c>
      <c r="C4">
        <v>1</v>
      </c>
    </row>
    <row r="5" spans="1:12" x14ac:dyDescent="0.3">
      <c r="A5">
        <v>1</v>
      </c>
      <c r="B5">
        <v>0</v>
      </c>
      <c r="C5">
        <v>1</v>
      </c>
    </row>
    <row r="6" spans="1:12" x14ac:dyDescent="0.3">
      <c r="A6">
        <v>1</v>
      </c>
      <c r="B6">
        <v>1</v>
      </c>
      <c r="C6">
        <v>1</v>
      </c>
      <c r="J6">
        <v>1.0185</v>
      </c>
      <c r="K6">
        <v>1.7938000000000001</v>
      </c>
      <c r="L6">
        <v>0.69610000000000005</v>
      </c>
    </row>
    <row r="7" spans="1:12" x14ac:dyDescent="0.3">
      <c r="A7" s="2" t="s">
        <v>12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>
        <f>0</f>
        <v>0</v>
      </c>
      <c r="B8">
        <v>0</v>
      </c>
      <c r="C8">
        <v>0</v>
      </c>
      <c r="D8">
        <f>G8*A8+H8*B8+I8</f>
        <v>0.69610000000000005</v>
      </c>
      <c r="E8">
        <f>1/(1+EXP(-D8))</f>
        <v>0.66732252551578619</v>
      </c>
      <c r="F8">
        <f>C8-E8</f>
        <v>-0.66732252551578619</v>
      </c>
      <c r="G8">
        <f>J6</f>
        <v>1.0185</v>
      </c>
      <c r="H8">
        <f>K6</f>
        <v>1.7938000000000001</v>
      </c>
      <c r="I8">
        <f>L6</f>
        <v>0.69610000000000005</v>
      </c>
      <c r="J8">
        <f>G8+F8*A8</f>
        <v>1.0185</v>
      </c>
      <c r="K8">
        <f>H8+F8*B8</f>
        <v>1.7938000000000001</v>
      </c>
      <c r="L8" s="3">
        <f>I8+F8</f>
        <v>2.8777474484213861E-2</v>
      </c>
    </row>
    <row r="9" spans="1:12" x14ac:dyDescent="0.3">
      <c r="A9">
        <v>0</v>
      </c>
      <c r="B9">
        <v>1</v>
      </c>
      <c r="C9">
        <v>1</v>
      </c>
      <c r="D9">
        <f t="shared" ref="D9:D11" si="0">G9*A9+H9*B9+I9</f>
        <v>1.822577474484214</v>
      </c>
      <c r="E9">
        <f t="shared" ref="E9:E11" si="1">1/(1+EXP(-D9))</f>
        <v>0.8608751162018744</v>
      </c>
      <c r="F9">
        <f t="shared" ref="F9:F11" si="2">C9-E9</f>
        <v>0.1391248837981256</v>
      </c>
      <c r="G9">
        <f>J8</f>
        <v>1.0185</v>
      </c>
      <c r="H9">
        <f>K8</f>
        <v>1.7938000000000001</v>
      </c>
      <c r="I9">
        <f>L8</f>
        <v>2.8777474484213861E-2</v>
      </c>
      <c r="J9">
        <f t="shared" ref="J9:J11" si="3">G9+F9*A9</f>
        <v>1.0185</v>
      </c>
      <c r="K9">
        <f t="shared" ref="K9:K11" si="4">H9+F9*B9</f>
        <v>1.9329248837981257</v>
      </c>
      <c r="L9" s="3">
        <f t="shared" ref="L9:L11" si="5">I9+F9</f>
        <v>0.16790235828233946</v>
      </c>
    </row>
    <row r="10" spans="1:12" x14ac:dyDescent="0.3">
      <c r="A10">
        <v>1</v>
      </c>
      <c r="B10">
        <v>0</v>
      </c>
      <c r="C10">
        <v>1</v>
      </c>
      <c r="D10">
        <f t="shared" si="0"/>
        <v>1.1864023582823395</v>
      </c>
      <c r="E10">
        <f t="shared" si="1"/>
        <v>0.76609701150540443</v>
      </c>
      <c r="F10">
        <f t="shared" si="2"/>
        <v>0.23390298849459557</v>
      </c>
      <c r="G10">
        <f t="shared" ref="G10:G11" si="6">J9</f>
        <v>1.0185</v>
      </c>
      <c r="H10">
        <f t="shared" ref="H10:H11" si="7">K9</f>
        <v>1.9329248837981257</v>
      </c>
      <c r="I10">
        <f t="shared" ref="I10:I11" si="8">L9</f>
        <v>0.16790235828233946</v>
      </c>
      <c r="J10">
        <f t="shared" si="3"/>
        <v>1.2524029884945955</v>
      </c>
      <c r="K10">
        <f t="shared" si="4"/>
        <v>1.9329248837981257</v>
      </c>
      <c r="L10" s="3">
        <f t="shared" si="5"/>
        <v>0.40180534677693502</v>
      </c>
    </row>
    <row r="11" spans="1:12" x14ac:dyDescent="0.3">
      <c r="A11">
        <v>1</v>
      </c>
      <c r="B11">
        <v>1</v>
      </c>
      <c r="C11">
        <v>1</v>
      </c>
      <c r="D11">
        <f t="shared" si="0"/>
        <v>3.5871332190696563</v>
      </c>
      <c r="E11">
        <f t="shared" si="1"/>
        <v>0.97306785384663119</v>
      </c>
      <c r="F11">
        <f t="shared" si="2"/>
        <v>2.6932146153368808E-2</v>
      </c>
      <c r="G11">
        <f t="shared" si="6"/>
        <v>1.2524029884945955</v>
      </c>
      <c r="H11">
        <f t="shared" si="7"/>
        <v>1.9329248837981257</v>
      </c>
      <c r="I11">
        <f t="shared" si="8"/>
        <v>0.40180534677693502</v>
      </c>
      <c r="J11">
        <f t="shared" si="3"/>
        <v>1.2793351346479644</v>
      </c>
      <c r="K11">
        <f t="shared" si="4"/>
        <v>1.9598570299514946</v>
      </c>
      <c r="L11" s="3">
        <f t="shared" si="5"/>
        <v>0.42873749293030383</v>
      </c>
    </row>
    <row r="12" spans="1:12" x14ac:dyDescent="0.3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>
        <f>0</f>
        <v>0</v>
      </c>
      <c r="B13">
        <v>0</v>
      </c>
      <c r="C13">
        <v>0</v>
      </c>
      <c r="D13">
        <f t="shared" ref="D13:D44" si="9">G13*A13+H13*B13+I13</f>
        <v>0.42873749293030383</v>
      </c>
      <c r="E13">
        <f t="shared" ref="E13:E76" si="10">1/(1+EXP(-D13))</f>
        <v>0.6055721531387166</v>
      </c>
      <c r="F13">
        <f t="shared" ref="F13:F16" si="11">C13-E13</f>
        <v>-0.6055721531387166</v>
      </c>
      <c r="G13">
        <f t="shared" ref="G13:I13" si="12">J11</f>
        <v>1.2793351346479644</v>
      </c>
      <c r="H13">
        <f t="shared" si="12"/>
        <v>1.9598570299514946</v>
      </c>
      <c r="I13">
        <f t="shared" si="12"/>
        <v>0.42873749293030383</v>
      </c>
      <c r="J13">
        <f t="shared" ref="J13:J44" si="13">G13+F13*A13</f>
        <v>1.2793351346479644</v>
      </c>
      <c r="K13">
        <f t="shared" ref="K13:K44" si="14">H13+F13*B13</f>
        <v>1.9598570299514946</v>
      </c>
      <c r="L13" s="3">
        <f t="shared" ref="L13:L44" si="15">I13+F13</f>
        <v>-0.17683466020841276</v>
      </c>
    </row>
    <row r="14" spans="1:12" x14ac:dyDescent="0.3">
      <c r="A14">
        <v>0</v>
      </c>
      <c r="B14">
        <v>1</v>
      </c>
      <c r="C14">
        <v>1</v>
      </c>
      <c r="D14">
        <f t="shared" si="9"/>
        <v>1.7830223697430818</v>
      </c>
      <c r="E14">
        <f t="shared" si="10"/>
        <v>0.85606966627641046</v>
      </c>
      <c r="F14">
        <f t="shared" si="11"/>
        <v>0.14393033372358954</v>
      </c>
      <c r="G14">
        <f t="shared" ref="G14:G45" si="16">J13</f>
        <v>1.2793351346479644</v>
      </c>
      <c r="H14">
        <f t="shared" ref="H14:H45" si="17">K13</f>
        <v>1.9598570299514946</v>
      </c>
      <c r="I14">
        <f t="shared" ref="I14:I45" si="18">L13</f>
        <v>-0.17683466020841276</v>
      </c>
      <c r="J14">
        <f t="shared" si="13"/>
        <v>1.2793351346479644</v>
      </c>
      <c r="K14">
        <f t="shared" si="14"/>
        <v>2.1037873636750843</v>
      </c>
      <c r="L14" s="3">
        <f t="shared" si="15"/>
        <v>-3.2904326484823221E-2</v>
      </c>
    </row>
    <row r="15" spans="1:12" x14ac:dyDescent="0.3">
      <c r="A15">
        <v>1</v>
      </c>
      <c r="B15">
        <v>0</v>
      </c>
      <c r="C15">
        <v>1</v>
      </c>
      <c r="D15">
        <f t="shared" si="9"/>
        <v>1.2464308081631412</v>
      </c>
      <c r="E15">
        <f t="shared" si="10"/>
        <v>0.77668140553052178</v>
      </c>
      <c r="F15">
        <f t="shared" si="11"/>
        <v>0.22331859446947822</v>
      </c>
      <c r="G15">
        <f t="shared" si="16"/>
        <v>1.2793351346479644</v>
      </c>
      <c r="H15">
        <f t="shared" si="17"/>
        <v>2.1037873636750843</v>
      </c>
      <c r="I15">
        <f t="shared" si="18"/>
        <v>-3.2904326484823221E-2</v>
      </c>
      <c r="J15">
        <f t="shared" si="13"/>
        <v>1.5026537291174427</v>
      </c>
      <c r="K15">
        <f t="shared" si="14"/>
        <v>2.1037873636750843</v>
      </c>
      <c r="L15" s="3">
        <f t="shared" si="15"/>
        <v>0.19041426798465499</v>
      </c>
    </row>
    <row r="16" spans="1:12" x14ac:dyDescent="0.3">
      <c r="A16">
        <v>1</v>
      </c>
      <c r="B16">
        <v>1</v>
      </c>
      <c r="C16">
        <v>1</v>
      </c>
      <c r="D16">
        <f t="shared" si="9"/>
        <v>3.7968553607771818</v>
      </c>
      <c r="E16">
        <f t="shared" si="10"/>
        <v>0.97805132469525002</v>
      </c>
      <c r="F16">
        <f t="shared" si="11"/>
        <v>2.1948675304749976E-2</v>
      </c>
      <c r="G16">
        <f t="shared" si="16"/>
        <v>1.5026537291174427</v>
      </c>
      <c r="H16">
        <f t="shared" si="17"/>
        <v>2.1037873636750843</v>
      </c>
      <c r="I16">
        <f t="shared" si="18"/>
        <v>0.19041426798465499</v>
      </c>
      <c r="J16">
        <f t="shared" si="13"/>
        <v>1.5246024044221926</v>
      </c>
      <c r="K16">
        <f t="shared" si="14"/>
        <v>2.1257360389798343</v>
      </c>
      <c r="L16" s="3">
        <f t="shared" si="15"/>
        <v>0.21236294328940497</v>
      </c>
    </row>
    <row r="17" spans="1:12" x14ac:dyDescent="0.3">
      <c r="A17" s="2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>
        <f>0</f>
        <v>0</v>
      </c>
      <c r="B18">
        <v>0</v>
      </c>
      <c r="C18">
        <v>0</v>
      </c>
      <c r="D18">
        <f t="shared" ref="D18:D49" si="19">G18*A18+H18*B18+I18</f>
        <v>0.21236294328940497</v>
      </c>
      <c r="E18">
        <f t="shared" ref="E18" si="20">1/(1+EXP(-D18))</f>
        <v>0.5528921076273513</v>
      </c>
      <c r="F18">
        <f t="shared" ref="F18:F21" si="21">C18-E18</f>
        <v>-0.5528921076273513</v>
      </c>
      <c r="G18">
        <f t="shared" ref="G18:I18" si="22">J16</f>
        <v>1.5246024044221926</v>
      </c>
      <c r="H18">
        <f t="shared" si="22"/>
        <v>2.1257360389798343</v>
      </c>
      <c r="I18">
        <f t="shared" si="22"/>
        <v>0.21236294328940497</v>
      </c>
      <c r="J18">
        <f t="shared" ref="J18:J49" si="23">G18+F18*A18</f>
        <v>1.5246024044221926</v>
      </c>
      <c r="K18">
        <f t="shared" ref="K18:K49" si="24">H18+F18*B18</f>
        <v>2.1257360389798343</v>
      </c>
      <c r="L18" s="3">
        <f t="shared" ref="L18:L49" si="25">I18+F18</f>
        <v>-0.34052916433794633</v>
      </c>
    </row>
    <row r="19" spans="1:12" x14ac:dyDescent="0.3">
      <c r="A19">
        <v>0</v>
      </c>
      <c r="B19">
        <v>1</v>
      </c>
      <c r="C19">
        <v>1</v>
      </c>
      <c r="D19">
        <f t="shared" si="19"/>
        <v>1.7852068746418879</v>
      </c>
      <c r="E19">
        <f t="shared" si="10"/>
        <v>0.85633861941262535</v>
      </c>
      <c r="F19">
        <f t="shared" si="21"/>
        <v>0.14366138058737465</v>
      </c>
      <c r="G19">
        <f t="shared" ref="G19:G50" si="26">J18</f>
        <v>1.5246024044221926</v>
      </c>
      <c r="H19">
        <f t="shared" ref="H19:H50" si="27">K18</f>
        <v>2.1257360389798343</v>
      </c>
      <c r="I19">
        <f t="shared" ref="I19:I50" si="28">L18</f>
        <v>-0.34052916433794633</v>
      </c>
      <c r="J19">
        <f t="shared" si="23"/>
        <v>1.5246024044221926</v>
      </c>
      <c r="K19">
        <f t="shared" si="24"/>
        <v>2.2693974195672091</v>
      </c>
      <c r="L19" s="3">
        <f t="shared" si="25"/>
        <v>-0.19686778375057168</v>
      </c>
    </row>
    <row r="20" spans="1:12" x14ac:dyDescent="0.3">
      <c r="A20">
        <v>1</v>
      </c>
      <c r="B20">
        <v>0</v>
      </c>
      <c r="C20">
        <v>1</v>
      </c>
      <c r="D20">
        <f t="shared" si="19"/>
        <v>1.327734620671621</v>
      </c>
      <c r="E20">
        <f t="shared" si="10"/>
        <v>0.7904656675919326</v>
      </c>
      <c r="F20">
        <f t="shared" si="21"/>
        <v>0.2095343324080674</v>
      </c>
      <c r="G20">
        <f t="shared" si="26"/>
        <v>1.5246024044221926</v>
      </c>
      <c r="H20">
        <f t="shared" si="27"/>
        <v>2.2693974195672091</v>
      </c>
      <c r="I20">
        <f t="shared" si="28"/>
        <v>-0.19686778375057168</v>
      </c>
      <c r="J20">
        <f t="shared" si="23"/>
        <v>1.73413673683026</v>
      </c>
      <c r="K20">
        <f t="shared" si="24"/>
        <v>2.2693974195672091</v>
      </c>
      <c r="L20" s="3">
        <f t="shared" si="25"/>
        <v>1.2666548657495724E-2</v>
      </c>
    </row>
    <row r="21" spans="1:12" x14ac:dyDescent="0.3">
      <c r="A21">
        <v>1</v>
      </c>
      <c r="B21">
        <v>1</v>
      </c>
      <c r="C21">
        <v>1</v>
      </c>
      <c r="D21">
        <f t="shared" si="19"/>
        <v>4.0162007050549651</v>
      </c>
      <c r="E21">
        <f t="shared" si="10"/>
        <v>0.98229771496249074</v>
      </c>
      <c r="F21">
        <f t="shared" si="21"/>
        <v>1.7702285037509258E-2</v>
      </c>
      <c r="G21">
        <f t="shared" si="26"/>
        <v>1.73413673683026</v>
      </c>
      <c r="H21">
        <f t="shared" si="27"/>
        <v>2.2693974195672091</v>
      </c>
      <c r="I21">
        <f t="shared" si="28"/>
        <v>1.2666548657495724E-2</v>
      </c>
      <c r="J21">
        <f t="shared" si="23"/>
        <v>1.7518390218677693</v>
      </c>
      <c r="K21">
        <f t="shared" si="24"/>
        <v>2.2870997046047181</v>
      </c>
      <c r="L21" s="3">
        <f t="shared" si="25"/>
        <v>3.0368833695004982E-2</v>
      </c>
    </row>
    <row r="22" spans="1:12" x14ac:dyDescent="0.3">
      <c r="A22" s="2" t="s">
        <v>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3">
      <c r="A23">
        <f>0</f>
        <v>0</v>
      </c>
      <c r="B23">
        <v>0</v>
      </c>
      <c r="C23">
        <v>0</v>
      </c>
      <c r="D23">
        <f t="shared" ref="D23:D54" si="29">G23*A23+H23*B23+I23</f>
        <v>3.0368833695004982E-2</v>
      </c>
      <c r="E23">
        <f t="shared" ref="E23" si="30">1/(1+EXP(-D23))</f>
        <v>0.50759162497454824</v>
      </c>
      <c r="F23">
        <f t="shared" ref="F23:F26" si="31">C23-E23</f>
        <v>-0.50759162497454824</v>
      </c>
      <c r="G23">
        <f t="shared" ref="G23:I23" si="32">J21</f>
        <v>1.7518390218677693</v>
      </c>
      <c r="H23">
        <f t="shared" si="32"/>
        <v>2.2870997046047181</v>
      </c>
      <c r="I23">
        <f t="shared" si="32"/>
        <v>3.0368833695004982E-2</v>
      </c>
      <c r="J23">
        <f t="shared" ref="J23:J54" si="33">G23+F23*A23</f>
        <v>1.7518390218677693</v>
      </c>
      <c r="K23">
        <f t="shared" ref="K23:K54" si="34">H23+F23*B23</f>
        <v>2.2870997046047181</v>
      </c>
      <c r="L23" s="3">
        <f t="shared" ref="L23:L54" si="35">I23+F23</f>
        <v>-0.47722279127954326</v>
      </c>
    </row>
    <row r="24" spans="1:12" x14ac:dyDescent="0.3">
      <c r="A24">
        <v>0</v>
      </c>
      <c r="B24">
        <v>1</v>
      </c>
      <c r="C24">
        <v>1</v>
      </c>
      <c r="D24">
        <f t="shared" si="29"/>
        <v>1.8098769133251749</v>
      </c>
      <c r="E24">
        <f t="shared" si="10"/>
        <v>0.85934699747007903</v>
      </c>
      <c r="F24">
        <f t="shared" si="31"/>
        <v>0.14065300252992097</v>
      </c>
      <c r="G24">
        <f t="shared" ref="G24:G55" si="36">J23</f>
        <v>1.7518390218677693</v>
      </c>
      <c r="H24">
        <f t="shared" ref="H24:H55" si="37">K23</f>
        <v>2.2870997046047181</v>
      </c>
      <c r="I24">
        <f t="shared" ref="I24:I55" si="38">L23</f>
        <v>-0.47722279127954326</v>
      </c>
      <c r="J24">
        <f t="shared" si="33"/>
        <v>1.7518390218677693</v>
      </c>
      <c r="K24">
        <f t="shared" si="34"/>
        <v>2.4277527071346392</v>
      </c>
      <c r="L24" s="3">
        <f t="shared" si="35"/>
        <v>-0.33656978874962229</v>
      </c>
    </row>
    <row r="25" spans="1:12" x14ac:dyDescent="0.3">
      <c r="A25">
        <v>1</v>
      </c>
      <c r="B25">
        <v>0</v>
      </c>
      <c r="C25">
        <v>1</v>
      </c>
      <c r="D25">
        <f t="shared" si="29"/>
        <v>1.4152692331181469</v>
      </c>
      <c r="E25">
        <f t="shared" si="10"/>
        <v>0.80459570996705176</v>
      </c>
      <c r="F25">
        <f t="shared" si="31"/>
        <v>0.19540429003294824</v>
      </c>
      <c r="G25">
        <f t="shared" si="36"/>
        <v>1.7518390218677693</v>
      </c>
      <c r="H25">
        <f t="shared" si="37"/>
        <v>2.4277527071346392</v>
      </c>
      <c r="I25">
        <f t="shared" si="38"/>
        <v>-0.33656978874962229</v>
      </c>
      <c r="J25">
        <f t="shared" si="33"/>
        <v>1.9472433119007175</v>
      </c>
      <c r="K25">
        <f t="shared" si="34"/>
        <v>2.4277527071346392</v>
      </c>
      <c r="L25" s="3">
        <f t="shared" si="35"/>
        <v>-0.14116549871667405</v>
      </c>
    </row>
    <row r="26" spans="1:12" x14ac:dyDescent="0.3">
      <c r="A26">
        <v>1</v>
      </c>
      <c r="B26">
        <v>1</v>
      </c>
      <c r="C26">
        <v>1</v>
      </c>
      <c r="D26">
        <f t="shared" si="29"/>
        <v>4.2338305203186826</v>
      </c>
      <c r="E26">
        <f t="shared" si="10"/>
        <v>0.98571039888405387</v>
      </c>
      <c r="F26">
        <f t="shared" si="31"/>
        <v>1.4289601115946127E-2</v>
      </c>
      <c r="G26">
        <f t="shared" si="36"/>
        <v>1.9472433119007175</v>
      </c>
      <c r="H26">
        <f t="shared" si="37"/>
        <v>2.4277527071346392</v>
      </c>
      <c r="I26">
        <f t="shared" si="38"/>
        <v>-0.14116549871667405</v>
      </c>
      <c r="J26">
        <f t="shared" si="33"/>
        <v>1.9615329130166637</v>
      </c>
      <c r="K26">
        <f t="shared" si="34"/>
        <v>2.4420423082505853</v>
      </c>
      <c r="L26" s="3">
        <f t="shared" si="35"/>
        <v>-0.12687589760072793</v>
      </c>
    </row>
    <row r="27" spans="1:12" x14ac:dyDescent="0.3">
      <c r="A27" s="2" t="s">
        <v>16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3">
      <c r="A28">
        <f>0</f>
        <v>0</v>
      </c>
      <c r="B28">
        <v>0</v>
      </c>
      <c r="C28">
        <v>0</v>
      </c>
      <c r="D28">
        <f t="shared" ref="D28:D59" si="39">G28*A28+H28*B28+I28</f>
        <v>-0.12687589760072793</v>
      </c>
      <c r="E28">
        <f t="shared" ref="E28" si="40">1/(1+EXP(-D28))</f>
        <v>0.46832350688197971</v>
      </c>
      <c r="F28">
        <f t="shared" ref="F28:F31" si="41">C28-E28</f>
        <v>-0.46832350688197971</v>
      </c>
      <c r="G28">
        <f t="shared" ref="G28:I28" si="42">J26</f>
        <v>1.9615329130166637</v>
      </c>
      <c r="H28">
        <f t="shared" si="42"/>
        <v>2.4420423082505853</v>
      </c>
      <c r="I28">
        <f t="shared" si="42"/>
        <v>-0.12687589760072793</v>
      </c>
      <c r="J28">
        <f t="shared" ref="J28:J59" si="43">G28+F28*A28</f>
        <v>1.9615329130166637</v>
      </c>
      <c r="K28">
        <f t="shared" ref="K28:K59" si="44">H28+F28*B28</f>
        <v>2.4420423082505853</v>
      </c>
      <c r="L28" s="3">
        <f t="shared" ref="L28:L59" si="45">I28+F28</f>
        <v>-0.59519940448270758</v>
      </c>
    </row>
    <row r="29" spans="1:12" x14ac:dyDescent="0.3">
      <c r="A29">
        <v>0</v>
      </c>
      <c r="B29">
        <v>1</v>
      </c>
      <c r="C29">
        <v>1</v>
      </c>
      <c r="D29">
        <f t="shared" si="39"/>
        <v>1.8468429037678777</v>
      </c>
      <c r="E29">
        <f t="shared" si="10"/>
        <v>0.86375599742655962</v>
      </c>
      <c r="F29">
        <f t="shared" si="41"/>
        <v>0.13624400257344038</v>
      </c>
      <c r="G29">
        <f t="shared" ref="G29:G60" si="46">J28</f>
        <v>1.9615329130166637</v>
      </c>
      <c r="H29">
        <f t="shared" ref="H29:H60" si="47">K28</f>
        <v>2.4420423082505853</v>
      </c>
      <c r="I29">
        <f t="shared" ref="I29:I60" si="48">L28</f>
        <v>-0.59519940448270758</v>
      </c>
      <c r="J29">
        <f t="shared" si="43"/>
        <v>1.9615329130166637</v>
      </c>
      <c r="K29">
        <f t="shared" si="44"/>
        <v>2.5782863108240255</v>
      </c>
      <c r="L29" s="3">
        <f t="shared" si="45"/>
        <v>-0.4589554019092672</v>
      </c>
    </row>
    <row r="30" spans="1:12" x14ac:dyDescent="0.3">
      <c r="A30">
        <v>1</v>
      </c>
      <c r="B30">
        <v>0</v>
      </c>
      <c r="C30">
        <v>1</v>
      </c>
      <c r="D30">
        <f t="shared" si="39"/>
        <v>1.5025775111073965</v>
      </c>
      <c r="E30">
        <f t="shared" si="10"/>
        <v>0.81795858820227474</v>
      </c>
      <c r="F30">
        <f t="shared" si="41"/>
        <v>0.18204141179772526</v>
      </c>
      <c r="G30">
        <f t="shared" si="46"/>
        <v>1.9615329130166637</v>
      </c>
      <c r="H30">
        <f t="shared" si="47"/>
        <v>2.5782863108240255</v>
      </c>
      <c r="I30">
        <f t="shared" si="48"/>
        <v>-0.4589554019092672</v>
      </c>
      <c r="J30">
        <f t="shared" si="43"/>
        <v>2.1435743248143888</v>
      </c>
      <c r="K30">
        <f t="shared" si="44"/>
        <v>2.5782863108240255</v>
      </c>
      <c r="L30" s="3">
        <f t="shared" si="45"/>
        <v>-0.27691399011154194</v>
      </c>
    </row>
    <row r="31" spans="1:12" x14ac:dyDescent="0.3">
      <c r="A31">
        <v>1</v>
      </c>
      <c r="B31">
        <v>1</v>
      </c>
      <c r="C31">
        <v>1</v>
      </c>
      <c r="D31">
        <f t="shared" si="39"/>
        <v>4.4449466455268727</v>
      </c>
      <c r="E31">
        <f t="shared" si="10"/>
        <v>0.98839844368721286</v>
      </c>
      <c r="F31">
        <f t="shared" si="41"/>
        <v>1.1601556312787142E-2</v>
      </c>
      <c r="G31">
        <f t="shared" si="46"/>
        <v>2.1435743248143888</v>
      </c>
      <c r="H31">
        <f t="shared" si="47"/>
        <v>2.5782863108240255</v>
      </c>
      <c r="I31">
        <f t="shared" si="48"/>
        <v>-0.27691399011154194</v>
      </c>
      <c r="J31">
        <f t="shared" si="43"/>
        <v>2.155175881127176</v>
      </c>
      <c r="K31">
        <f t="shared" si="44"/>
        <v>2.5898878671368126</v>
      </c>
      <c r="L31" s="3">
        <f t="shared" si="45"/>
        <v>-0.2653124337987548</v>
      </c>
    </row>
    <row r="32" spans="1:12" x14ac:dyDescent="0.3">
      <c r="A32" s="2" t="s">
        <v>17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">
      <c r="A33">
        <f>0</f>
        <v>0</v>
      </c>
      <c r="B33">
        <v>0</v>
      </c>
      <c r="C33">
        <v>0</v>
      </c>
      <c r="D33">
        <f t="shared" ref="D33:D64" si="49">G33*A33+H33*B33+I33</f>
        <v>-0.2653124337987548</v>
      </c>
      <c r="E33">
        <f t="shared" ref="E33" si="50">1/(1+EXP(-D33))</f>
        <v>0.43405824563475087</v>
      </c>
      <c r="F33">
        <f t="shared" ref="F33:F36" si="51">C33-E33</f>
        <v>-0.43405824563475087</v>
      </c>
      <c r="G33">
        <f t="shared" ref="G33:I33" si="52">J31</f>
        <v>2.155175881127176</v>
      </c>
      <c r="H33">
        <f t="shared" si="52"/>
        <v>2.5898878671368126</v>
      </c>
      <c r="I33">
        <f t="shared" si="52"/>
        <v>-0.2653124337987548</v>
      </c>
      <c r="J33">
        <f t="shared" ref="J33:J64" si="53">G33+F33*A33</f>
        <v>2.155175881127176</v>
      </c>
      <c r="K33">
        <f t="shared" ref="K33:K64" si="54">H33+F33*B33</f>
        <v>2.5898878671368126</v>
      </c>
      <c r="L33" s="3">
        <f t="shared" ref="L33:L64" si="55">I33+F33</f>
        <v>-0.69937067943350573</v>
      </c>
    </row>
    <row r="34" spans="1:12" x14ac:dyDescent="0.3">
      <c r="A34">
        <v>0</v>
      </c>
      <c r="B34">
        <v>1</v>
      </c>
      <c r="C34">
        <v>1</v>
      </c>
      <c r="D34">
        <f t="shared" si="49"/>
        <v>1.8905171877033069</v>
      </c>
      <c r="E34">
        <f t="shared" si="10"/>
        <v>0.86881448872615574</v>
      </c>
      <c r="F34">
        <f t="shared" si="51"/>
        <v>0.13118551127384426</v>
      </c>
      <c r="G34">
        <f t="shared" ref="G34:G65" si="56">J33</f>
        <v>2.155175881127176</v>
      </c>
      <c r="H34">
        <f t="shared" ref="H34:H65" si="57">K33</f>
        <v>2.5898878671368126</v>
      </c>
      <c r="I34">
        <f t="shared" ref="I34:I65" si="58">L33</f>
        <v>-0.69937067943350573</v>
      </c>
      <c r="J34">
        <f t="shared" si="53"/>
        <v>2.155175881127176</v>
      </c>
      <c r="K34">
        <f t="shared" si="54"/>
        <v>2.7210733784106571</v>
      </c>
      <c r="L34" s="3">
        <f t="shared" si="55"/>
        <v>-0.56818516815966147</v>
      </c>
    </row>
    <row r="35" spans="1:12" x14ac:dyDescent="0.3">
      <c r="A35">
        <v>1</v>
      </c>
      <c r="B35">
        <v>0</v>
      </c>
      <c r="C35">
        <v>1</v>
      </c>
      <c r="D35">
        <f t="shared" si="49"/>
        <v>1.5869907129675145</v>
      </c>
      <c r="E35">
        <f t="shared" si="10"/>
        <v>0.8301922961347733</v>
      </c>
      <c r="F35">
        <f t="shared" si="51"/>
        <v>0.1698077038652267</v>
      </c>
      <c r="G35">
        <f t="shared" si="56"/>
        <v>2.155175881127176</v>
      </c>
      <c r="H35">
        <f t="shared" si="57"/>
        <v>2.7210733784106571</v>
      </c>
      <c r="I35">
        <f t="shared" si="58"/>
        <v>-0.56818516815966147</v>
      </c>
      <c r="J35">
        <f t="shared" si="53"/>
        <v>2.3249835849924025</v>
      </c>
      <c r="K35">
        <f t="shared" si="54"/>
        <v>2.7210733784106571</v>
      </c>
      <c r="L35" s="3">
        <f t="shared" si="55"/>
        <v>-0.39837746429443477</v>
      </c>
    </row>
    <row r="36" spans="1:12" x14ac:dyDescent="0.3">
      <c r="A36">
        <v>1</v>
      </c>
      <c r="B36">
        <v>1</v>
      </c>
      <c r="C36">
        <v>1</v>
      </c>
      <c r="D36">
        <f t="shared" si="49"/>
        <v>4.6476794991086248</v>
      </c>
      <c r="E36">
        <f t="shared" si="10"/>
        <v>0.99050716220547497</v>
      </c>
      <c r="F36">
        <f t="shared" si="51"/>
        <v>9.4928377945250331E-3</v>
      </c>
      <c r="G36">
        <f t="shared" si="56"/>
        <v>2.3249835849924025</v>
      </c>
      <c r="H36">
        <f t="shared" si="57"/>
        <v>2.7210733784106571</v>
      </c>
      <c r="I36">
        <f t="shared" si="58"/>
        <v>-0.39837746429443477</v>
      </c>
      <c r="J36">
        <f t="shared" si="53"/>
        <v>2.3344764227869277</v>
      </c>
      <c r="K36">
        <f t="shared" si="54"/>
        <v>2.7305662162051823</v>
      </c>
      <c r="L36" s="3">
        <f t="shared" si="55"/>
        <v>-0.38888462649990974</v>
      </c>
    </row>
    <row r="37" spans="1:12" x14ac:dyDescent="0.3">
      <c r="A37" s="2" t="s">
        <v>18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">
      <c r="A38">
        <f>0</f>
        <v>0</v>
      </c>
      <c r="B38">
        <v>0</v>
      </c>
      <c r="C38">
        <v>0</v>
      </c>
      <c r="D38">
        <f t="shared" ref="D38:D69" si="59">G38*A38+H38*B38+I38</f>
        <v>-0.38888462649990974</v>
      </c>
      <c r="E38">
        <f t="shared" ref="E38" si="60">1/(1+EXP(-D38))</f>
        <v>0.40398583297653629</v>
      </c>
      <c r="F38">
        <f t="shared" ref="F38:F41" si="61">C38-E38</f>
        <v>-0.40398583297653629</v>
      </c>
      <c r="G38">
        <f t="shared" ref="G38:I38" si="62">J36</f>
        <v>2.3344764227869277</v>
      </c>
      <c r="H38">
        <f t="shared" si="62"/>
        <v>2.7305662162051823</v>
      </c>
      <c r="I38">
        <f t="shared" si="62"/>
        <v>-0.38888462649990974</v>
      </c>
      <c r="J38">
        <f t="shared" ref="J38:J69" si="63">G38+F38*A38</f>
        <v>2.3344764227869277</v>
      </c>
      <c r="K38">
        <f t="shared" ref="K38:K69" si="64">H38+F38*B38</f>
        <v>2.7305662162051823</v>
      </c>
      <c r="L38" s="3">
        <f t="shared" ref="L38:L69" si="65">I38+F38</f>
        <v>-0.79287045947644597</v>
      </c>
    </row>
    <row r="39" spans="1:12" x14ac:dyDescent="0.3">
      <c r="A39">
        <v>0</v>
      </c>
      <c r="B39">
        <v>1</v>
      </c>
      <c r="C39">
        <v>1</v>
      </c>
      <c r="D39">
        <f t="shared" si="59"/>
        <v>1.9376957567287363</v>
      </c>
      <c r="E39">
        <f t="shared" si="10"/>
        <v>0.87409877979071493</v>
      </c>
      <c r="F39">
        <f t="shared" si="61"/>
        <v>0.12590122020928507</v>
      </c>
      <c r="G39">
        <f t="shared" ref="G39:G70" si="66">J38</f>
        <v>2.3344764227869277</v>
      </c>
      <c r="H39">
        <f t="shared" ref="H39:H70" si="67">K38</f>
        <v>2.7305662162051823</v>
      </c>
      <c r="I39">
        <f t="shared" ref="I39:I70" si="68">L38</f>
        <v>-0.79287045947644597</v>
      </c>
      <c r="J39">
        <f t="shared" si="63"/>
        <v>2.3344764227869277</v>
      </c>
      <c r="K39">
        <f t="shared" si="64"/>
        <v>2.8564674364144675</v>
      </c>
      <c r="L39" s="3">
        <f t="shared" si="65"/>
        <v>-0.6669692392671609</v>
      </c>
    </row>
    <row r="40" spans="1:12" x14ac:dyDescent="0.3">
      <c r="A40">
        <v>1</v>
      </c>
      <c r="B40">
        <v>0</v>
      </c>
      <c r="C40">
        <v>1</v>
      </c>
      <c r="D40">
        <f t="shared" si="59"/>
        <v>1.6675071835197668</v>
      </c>
      <c r="E40">
        <f t="shared" si="10"/>
        <v>0.84124318094252259</v>
      </c>
      <c r="F40">
        <f t="shared" si="61"/>
        <v>0.15875681905747741</v>
      </c>
      <c r="G40">
        <f t="shared" si="66"/>
        <v>2.3344764227869277</v>
      </c>
      <c r="H40">
        <f t="shared" si="67"/>
        <v>2.8564674364144675</v>
      </c>
      <c r="I40">
        <f t="shared" si="68"/>
        <v>-0.6669692392671609</v>
      </c>
      <c r="J40">
        <f t="shared" si="63"/>
        <v>2.493233241844405</v>
      </c>
      <c r="K40">
        <f t="shared" si="64"/>
        <v>2.8564674364144675</v>
      </c>
      <c r="L40" s="3">
        <f t="shared" si="65"/>
        <v>-0.50821242020968349</v>
      </c>
    </row>
    <row r="41" spans="1:12" x14ac:dyDescent="0.3">
      <c r="A41">
        <v>1</v>
      </c>
      <c r="B41">
        <v>1</v>
      </c>
      <c r="C41">
        <v>1</v>
      </c>
      <c r="D41">
        <f t="shared" si="59"/>
        <v>4.8414882580491891</v>
      </c>
      <c r="E41">
        <f t="shared" si="10"/>
        <v>0.99216655231374806</v>
      </c>
      <c r="F41">
        <f t="shared" si="61"/>
        <v>7.8334476862519375E-3</v>
      </c>
      <c r="G41">
        <f t="shared" si="66"/>
        <v>2.493233241844405</v>
      </c>
      <c r="H41">
        <f t="shared" si="67"/>
        <v>2.8564674364144675</v>
      </c>
      <c r="I41">
        <f t="shared" si="68"/>
        <v>-0.50821242020968349</v>
      </c>
      <c r="J41">
        <f t="shared" si="63"/>
        <v>2.5010666895306568</v>
      </c>
      <c r="K41">
        <f t="shared" si="64"/>
        <v>2.8643008841007194</v>
      </c>
      <c r="L41" s="3">
        <f t="shared" si="65"/>
        <v>-0.50037897252343155</v>
      </c>
    </row>
    <row r="42" spans="1:12" x14ac:dyDescent="0.3">
      <c r="A42" s="2" t="s">
        <v>19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">
      <c r="A43">
        <f>0</f>
        <v>0</v>
      </c>
      <c r="B43">
        <v>0</v>
      </c>
      <c r="C43">
        <v>0</v>
      </c>
      <c r="D43">
        <f t="shared" ref="D43:D74" si="69">G43*A43+H43*B43+I43</f>
        <v>-0.50037897252343155</v>
      </c>
      <c r="E43">
        <f t="shared" ref="E43" si="70">1/(1+EXP(-D43))</f>
        <v>0.37745161298234903</v>
      </c>
      <c r="F43">
        <f t="shared" ref="F43:F46" si="71">C43-E43</f>
        <v>-0.37745161298234903</v>
      </c>
      <c r="G43">
        <f t="shared" ref="G43:I43" si="72">J41</f>
        <v>2.5010666895306568</v>
      </c>
      <c r="H43">
        <f t="shared" si="72"/>
        <v>2.8643008841007194</v>
      </c>
      <c r="I43">
        <f t="shared" si="72"/>
        <v>-0.50037897252343155</v>
      </c>
      <c r="J43">
        <f t="shared" ref="J43:J74" si="73">G43+F43*A43</f>
        <v>2.5010666895306568</v>
      </c>
      <c r="K43">
        <f t="shared" ref="K43:K74" si="74">H43+F43*B43</f>
        <v>2.8643008841007194</v>
      </c>
      <c r="L43" s="3">
        <f t="shared" ref="L43:L74" si="75">I43+F43</f>
        <v>-0.87783058550578064</v>
      </c>
    </row>
    <row r="44" spans="1:12" x14ac:dyDescent="0.3">
      <c r="A44">
        <v>0</v>
      </c>
      <c r="B44">
        <v>1</v>
      </c>
      <c r="C44">
        <v>1</v>
      </c>
      <c r="D44">
        <f t="shared" si="69"/>
        <v>1.9864702985949387</v>
      </c>
      <c r="E44">
        <f t="shared" si="10"/>
        <v>0.87936921142961577</v>
      </c>
      <c r="F44">
        <f t="shared" si="71"/>
        <v>0.12063078857038423</v>
      </c>
      <c r="G44">
        <f t="shared" ref="G44:G75" si="76">J43</f>
        <v>2.5010666895306568</v>
      </c>
      <c r="H44">
        <f t="shared" ref="H44:H75" si="77">K43</f>
        <v>2.8643008841007194</v>
      </c>
      <c r="I44">
        <f t="shared" ref="I44:I75" si="78">L43</f>
        <v>-0.87783058550578064</v>
      </c>
      <c r="J44">
        <f t="shared" si="73"/>
        <v>2.5010666895306568</v>
      </c>
      <c r="K44">
        <f t="shared" si="74"/>
        <v>2.9849316726711037</v>
      </c>
      <c r="L44" s="3">
        <f t="shared" si="75"/>
        <v>-0.75719979693539641</v>
      </c>
    </row>
    <row r="45" spans="1:12" x14ac:dyDescent="0.3">
      <c r="A45">
        <v>1</v>
      </c>
      <c r="B45">
        <v>0</v>
      </c>
      <c r="C45">
        <v>1</v>
      </c>
      <c r="D45">
        <f t="shared" si="69"/>
        <v>1.7438668925952605</v>
      </c>
      <c r="E45">
        <f t="shared" si="10"/>
        <v>0.85117756691867186</v>
      </c>
      <c r="F45">
        <f t="shared" si="71"/>
        <v>0.14882243308132814</v>
      </c>
      <c r="G45">
        <f t="shared" si="76"/>
        <v>2.5010666895306568</v>
      </c>
      <c r="H45">
        <f t="shared" si="77"/>
        <v>2.9849316726711037</v>
      </c>
      <c r="I45">
        <f t="shared" si="78"/>
        <v>-0.75719979693539641</v>
      </c>
      <c r="J45">
        <f t="shared" si="73"/>
        <v>2.6498891226119849</v>
      </c>
      <c r="K45">
        <f t="shared" si="74"/>
        <v>2.9849316726711037</v>
      </c>
      <c r="L45" s="3">
        <f t="shared" si="75"/>
        <v>-0.60837736385406826</v>
      </c>
    </row>
    <row r="46" spans="1:12" x14ac:dyDescent="0.3">
      <c r="A46">
        <v>1</v>
      </c>
      <c r="B46">
        <v>1</v>
      </c>
      <c r="C46">
        <v>1</v>
      </c>
      <c r="D46">
        <f t="shared" si="69"/>
        <v>5.0264434314290201</v>
      </c>
      <c r="E46">
        <f t="shared" si="10"/>
        <v>0.99348067282399743</v>
      </c>
      <c r="F46">
        <f t="shared" si="71"/>
        <v>6.5193271760025651E-3</v>
      </c>
      <c r="G46">
        <f t="shared" si="76"/>
        <v>2.6498891226119849</v>
      </c>
      <c r="H46">
        <f t="shared" si="77"/>
        <v>2.9849316726711037</v>
      </c>
      <c r="I46">
        <f t="shared" si="78"/>
        <v>-0.60837736385406826</v>
      </c>
      <c r="J46">
        <f t="shared" si="73"/>
        <v>2.6564084497879876</v>
      </c>
      <c r="K46">
        <f t="shared" si="74"/>
        <v>2.9914509998471064</v>
      </c>
      <c r="L46" s="3">
        <f t="shared" si="75"/>
        <v>-0.6018580366780657</v>
      </c>
    </row>
    <row r="47" spans="1:12" x14ac:dyDescent="0.3">
      <c r="A47" s="2" t="s">
        <v>20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3">
      <c r="A48">
        <f>0</f>
        <v>0</v>
      </c>
      <c r="B48">
        <v>0</v>
      </c>
      <c r="C48">
        <v>0</v>
      </c>
      <c r="D48">
        <f t="shared" ref="D48:D79" si="79">G48*A48+H48*B48+I48</f>
        <v>-0.6018580366780657</v>
      </c>
      <c r="E48">
        <f t="shared" ref="E48" si="80">1/(1+EXP(-D48))</f>
        <v>0.35391871939917197</v>
      </c>
      <c r="F48">
        <f t="shared" ref="F48:F51" si="81">C48-E48</f>
        <v>-0.35391871939917197</v>
      </c>
      <c r="G48">
        <f t="shared" ref="G48:I48" si="82">J46</f>
        <v>2.6564084497879876</v>
      </c>
      <c r="H48">
        <f t="shared" si="82"/>
        <v>2.9914509998471064</v>
      </c>
      <c r="I48">
        <f t="shared" si="82"/>
        <v>-0.6018580366780657</v>
      </c>
      <c r="J48">
        <f t="shared" ref="J48:J79" si="83">G48+F48*A48</f>
        <v>2.6564084497879876</v>
      </c>
      <c r="K48">
        <f t="shared" ref="K48:K79" si="84">H48+F48*B48</f>
        <v>2.9914509998471064</v>
      </c>
      <c r="L48" s="3">
        <f t="shared" ref="L48:L79" si="85">I48+F48</f>
        <v>-0.95577675607723767</v>
      </c>
    </row>
    <row r="49" spans="1:12" x14ac:dyDescent="0.3">
      <c r="A49">
        <v>0</v>
      </c>
      <c r="B49">
        <v>1</v>
      </c>
      <c r="C49">
        <v>1</v>
      </c>
      <c r="D49">
        <f t="shared" si="79"/>
        <v>2.0356742437698685</v>
      </c>
      <c r="E49">
        <f t="shared" si="10"/>
        <v>0.88449205787711371</v>
      </c>
      <c r="F49">
        <f t="shared" si="81"/>
        <v>0.11550794212288629</v>
      </c>
      <c r="G49">
        <f t="shared" ref="G49:G80" si="86">J48</f>
        <v>2.6564084497879876</v>
      </c>
      <c r="H49">
        <f t="shared" ref="H49:H80" si="87">K48</f>
        <v>2.9914509998471064</v>
      </c>
      <c r="I49">
        <f t="shared" ref="I49:I80" si="88">L48</f>
        <v>-0.95577675607723767</v>
      </c>
      <c r="J49">
        <f t="shared" si="83"/>
        <v>2.6564084497879876</v>
      </c>
      <c r="K49">
        <f t="shared" si="84"/>
        <v>3.1069589419699928</v>
      </c>
      <c r="L49" s="3">
        <f t="shared" si="85"/>
        <v>-0.84026881395435138</v>
      </c>
    </row>
    <row r="50" spans="1:12" x14ac:dyDescent="0.3">
      <c r="A50">
        <v>1</v>
      </c>
      <c r="B50">
        <v>0</v>
      </c>
      <c r="C50">
        <v>1</v>
      </c>
      <c r="D50">
        <f t="shared" si="79"/>
        <v>1.8161396358336361</v>
      </c>
      <c r="E50">
        <f t="shared" si="10"/>
        <v>0.86010226888287289</v>
      </c>
      <c r="F50">
        <f t="shared" si="81"/>
        <v>0.13989773111712711</v>
      </c>
      <c r="G50">
        <f t="shared" si="86"/>
        <v>2.6564084497879876</v>
      </c>
      <c r="H50">
        <f t="shared" si="87"/>
        <v>3.1069589419699928</v>
      </c>
      <c r="I50">
        <f t="shared" si="88"/>
        <v>-0.84026881395435138</v>
      </c>
      <c r="J50">
        <f t="shared" si="83"/>
        <v>2.7963061809051148</v>
      </c>
      <c r="K50">
        <f t="shared" si="84"/>
        <v>3.1069589419699928</v>
      </c>
      <c r="L50" s="3">
        <f t="shared" si="85"/>
        <v>-0.70037108283722427</v>
      </c>
    </row>
    <row r="51" spans="1:12" x14ac:dyDescent="0.3">
      <c r="A51">
        <v>1</v>
      </c>
      <c r="B51">
        <v>1</v>
      </c>
      <c r="C51">
        <v>1</v>
      </c>
      <c r="D51">
        <f t="shared" si="79"/>
        <v>5.2028940400378829</v>
      </c>
      <c r="E51">
        <f t="shared" si="10"/>
        <v>0.99452946898304551</v>
      </c>
      <c r="F51">
        <f t="shared" si="81"/>
        <v>5.4705310169544941E-3</v>
      </c>
      <c r="G51">
        <f t="shared" si="86"/>
        <v>2.7963061809051148</v>
      </c>
      <c r="H51">
        <f t="shared" si="87"/>
        <v>3.1069589419699928</v>
      </c>
      <c r="I51">
        <f t="shared" si="88"/>
        <v>-0.70037108283722427</v>
      </c>
      <c r="J51">
        <f t="shared" si="83"/>
        <v>2.8017767119220691</v>
      </c>
      <c r="K51">
        <f t="shared" si="84"/>
        <v>3.1124294729869471</v>
      </c>
      <c r="L51" s="3">
        <f t="shared" si="85"/>
        <v>-0.69490055182026977</v>
      </c>
    </row>
    <row r="52" spans="1:12" x14ac:dyDescent="0.3">
      <c r="A52" s="2" t="s">
        <v>21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3">
      <c r="A53">
        <f>0</f>
        <v>0</v>
      </c>
      <c r="B53">
        <v>0</v>
      </c>
      <c r="C53">
        <v>0</v>
      </c>
      <c r="D53">
        <f t="shared" ref="D53:D84" si="89">G53*A53+H53*B53+I53</f>
        <v>-0.69490055182026977</v>
      </c>
      <c r="E53">
        <f t="shared" ref="E53" si="90">1/(1+EXP(-D53))</f>
        <v>0.33294380920534516</v>
      </c>
      <c r="F53">
        <f t="shared" ref="F53:F56" si="91">C53-E53</f>
        <v>-0.33294380920534516</v>
      </c>
      <c r="G53">
        <f t="shared" ref="G53:I53" si="92">J51</f>
        <v>2.8017767119220691</v>
      </c>
      <c r="H53">
        <f t="shared" si="92"/>
        <v>3.1124294729869471</v>
      </c>
      <c r="I53">
        <f t="shared" si="92"/>
        <v>-0.69490055182026977</v>
      </c>
      <c r="J53">
        <f t="shared" ref="J53:J84" si="93">G53+F53*A53</f>
        <v>2.8017767119220691</v>
      </c>
      <c r="K53">
        <f t="shared" ref="K53:K84" si="94">H53+F53*B53</f>
        <v>3.1124294729869471</v>
      </c>
      <c r="L53" s="3">
        <f t="shared" ref="L53:L84" si="95">I53+F53</f>
        <v>-1.0278443610256149</v>
      </c>
    </row>
    <row r="54" spans="1:12" x14ac:dyDescent="0.3">
      <c r="A54">
        <v>0</v>
      </c>
      <c r="B54">
        <v>1</v>
      </c>
      <c r="C54">
        <v>1</v>
      </c>
      <c r="D54">
        <f t="shared" si="89"/>
        <v>2.0845851119613323</v>
      </c>
      <c r="E54">
        <f t="shared" si="10"/>
        <v>0.88939588058850672</v>
      </c>
      <c r="F54">
        <f t="shared" si="91"/>
        <v>0.11060411941149328</v>
      </c>
      <c r="G54">
        <f t="shared" ref="G54:G85" si="96">J53</f>
        <v>2.8017767119220691</v>
      </c>
      <c r="H54">
        <f t="shared" ref="H54:H85" si="97">K53</f>
        <v>3.1124294729869471</v>
      </c>
      <c r="I54">
        <f t="shared" ref="I54:I85" si="98">L53</f>
        <v>-1.0278443610256149</v>
      </c>
      <c r="J54">
        <f t="shared" si="93"/>
        <v>2.8017767119220691</v>
      </c>
      <c r="K54">
        <f t="shared" si="94"/>
        <v>3.2230335923984406</v>
      </c>
      <c r="L54" s="3">
        <f t="shared" si="95"/>
        <v>-0.91724024161412165</v>
      </c>
    </row>
    <row r="55" spans="1:12" x14ac:dyDescent="0.3">
      <c r="A55">
        <v>1</v>
      </c>
      <c r="B55">
        <v>0</v>
      </c>
      <c r="C55">
        <v>1</v>
      </c>
      <c r="D55">
        <f t="shared" si="89"/>
        <v>1.8845364703079475</v>
      </c>
      <c r="E55">
        <f t="shared" si="10"/>
        <v>0.86813132637415846</v>
      </c>
      <c r="F55">
        <f t="shared" si="91"/>
        <v>0.13186867362584154</v>
      </c>
      <c r="G55">
        <f t="shared" si="96"/>
        <v>2.8017767119220691</v>
      </c>
      <c r="H55">
        <f t="shared" si="97"/>
        <v>3.2230335923984406</v>
      </c>
      <c r="I55">
        <f t="shared" si="98"/>
        <v>-0.91724024161412165</v>
      </c>
      <c r="J55">
        <f t="shared" si="93"/>
        <v>2.9336453855479108</v>
      </c>
      <c r="K55">
        <f t="shared" si="94"/>
        <v>3.2230335923984406</v>
      </c>
      <c r="L55" s="3">
        <f t="shared" si="95"/>
        <v>-0.78537156798828012</v>
      </c>
    </row>
    <row r="56" spans="1:12" x14ac:dyDescent="0.3">
      <c r="A56">
        <v>1</v>
      </c>
      <c r="B56">
        <v>1</v>
      </c>
      <c r="C56">
        <v>1</v>
      </c>
      <c r="D56">
        <f t="shared" si="89"/>
        <v>5.3713074099580709</v>
      </c>
      <c r="E56">
        <f t="shared" si="10"/>
        <v>0.99537345399053156</v>
      </c>
      <c r="F56">
        <f t="shared" si="91"/>
        <v>4.6265460094684352E-3</v>
      </c>
      <c r="G56">
        <f t="shared" si="96"/>
        <v>2.9336453855479108</v>
      </c>
      <c r="H56">
        <f t="shared" si="97"/>
        <v>3.2230335923984406</v>
      </c>
      <c r="I56">
        <f t="shared" si="98"/>
        <v>-0.78537156798828012</v>
      </c>
      <c r="J56">
        <f t="shared" si="93"/>
        <v>2.9382719315573791</v>
      </c>
      <c r="K56">
        <f t="shared" si="94"/>
        <v>3.2276601384079089</v>
      </c>
      <c r="L56" s="3">
        <f t="shared" si="95"/>
        <v>-0.78074502197881168</v>
      </c>
    </row>
    <row r="57" spans="1:12" x14ac:dyDescent="0.3">
      <c r="A57" s="2" t="s">
        <v>22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3">
      <c r="A58">
        <f>0</f>
        <v>0</v>
      </c>
      <c r="B58">
        <v>0</v>
      </c>
      <c r="C58">
        <v>0</v>
      </c>
      <c r="D58">
        <f t="shared" ref="D58:D89" si="99">G58*A58+H58*B58+I58</f>
        <v>-0.78074502197881168</v>
      </c>
      <c r="E58">
        <f t="shared" ref="E58" si="100">1/(1+EXP(-D58))</f>
        <v>0.31415933898464854</v>
      </c>
      <c r="F58">
        <f t="shared" ref="F58:F61" si="101">C58-E58</f>
        <v>-0.31415933898464854</v>
      </c>
      <c r="G58">
        <f t="shared" ref="G58:I58" si="102">J56</f>
        <v>2.9382719315573791</v>
      </c>
      <c r="H58">
        <f t="shared" si="102"/>
        <v>3.2276601384079089</v>
      </c>
      <c r="I58">
        <f t="shared" si="102"/>
        <v>-0.78074502197881168</v>
      </c>
      <c r="J58">
        <f t="shared" ref="J58:J89" si="103">G58+F58*A58</f>
        <v>2.9382719315573791</v>
      </c>
      <c r="K58">
        <f t="shared" ref="K58:K89" si="104">H58+F58*B58</f>
        <v>3.2276601384079089</v>
      </c>
      <c r="L58" s="3">
        <f t="shared" ref="L58:L89" si="105">I58+F58</f>
        <v>-1.0949043609634601</v>
      </c>
    </row>
    <row r="59" spans="1:12" x14ac:dyDescent="0.3">
      <c r="A59">
        <v>0</v>
      </c>
      <c r="B59">
        <v>1</v>
      </c>
      <c r="C59">
        <v>1</v>
      </c>
      <c r="D59">
        <f t="shared" si="99"/>
        <v>2.1327557774444488</v>
      </c>
      <c r="E59">
        <f t="shared" si="10"/>
        <v>0.89404633979885162</v>
      </c>
      <c r="F59">
        <f t="shared" si="101"/>
        <v>0.10595366020114838</v>
      </c>
      <c r="G59">
        <f t="shared" ref="G59:G90" si="106">J58</f>
        <v>2.9382719315573791</v>
      </c>
      <c r="H59">
        <f t="shared" ref="H59:H90" si="107">K58</f>
        <v>3.2276601384079089</v>
      </c>
      <c r="I59">
        <f t="shared" ref="I59:I90" si="108">L58</f>
        <v>-1.0949043609634601</v>
      </c>
      <c r="J59">
        <f t="shared" si="103"/>
        <v>2.9382719315573791</v>
      </c>
      <c r="K59">
        <f t="shared" si="104"/>
        <v>3.3336137986090573</v>
      </c>
      <c r="L59" s="3">
        <f t="shared" si="105"/>
        <v>-0.98895070076231173</v>
      </c>
    </row>
    <row r="60" spans="1:12" x14ac:dyDescent="0.3">
      <c r="A60">
        <v>1</v>
      </c>
      <c r="B60">
        <v>0</v>
      </c>
      <c r="C60">
        <v>1</v>
      </c>
      <c r="D60">
        <f t="shared" si="99"/>
        <v>1.9493212307950674</v>
      </c>
      <c r="E60">
        <f t="shared" si="10"/>
        <v>0.87537261007770717</v>
      </c>
      <c r="F60">
        <f t="shared" si="101"/>
        <v>0.12462738992229283</v>
      </c>
      <c r="G60">
        <f t="shared" si="106"/>
        <v>2.9382719315573791</v>
      </c>
      <c r="H60">
        <f t="shared" si="107"/>
        <v>3.3336137986090573</v>
      </c>
      <c r="I60">
        <f t="shared" si="108"/>
        <v>-0.98895070076231173</v>
      </c>
      <c r="J60">
        <f t="shared" si="103"/>
        <v>3.062899321479672</v>
      </c>
      <c r="K60">
        <f t="shared" si="104"/>
        <v>3.3336137986090573</v>
      </c>
      <c r="L60" s="3">
        <f t="shared" si="105"/>
        <v>-0.8643233108400189</v>
      </c>
    </row>
    <row r="61" spans="1:12" x14ac:dyDescent="0.3">
      <c r="A61">
        <v>1</v>
      </c>
      <c r="B61">
        <v>1</v>
      </c>
      <c r="C61">
        <v>1</v>
      </c>
      <c r="D61">
        <f t="shared" si="99"/>
        <v>5.5321898092487096</v>
      </c>
      <c r="E61">
        <f t="shared" si="10"/>
        <v>0.99605828477263947</v>
      </c>
      <c r="F61">
        <f t="shared" si="101"/>
        <v>3.9417152273605316E-3</v>
      </c>
      <c r="G61">
        <f t="shared" si="106"/>
        <v>3.062899321479672</v>
      </c>
      <c r="H61">
        <f t="shared" si="107"/>
        <v>3.3336137986090573</v>
      </c>
      <c r="I61">
        <f t="shared" si="108"/>
        <v>-0.8643233108400189</v>
      </c>
      <c r="J61">
        <f t="shared" si="103"/>
        <v>3.0668410367070327</v>
      </c>
      <c r="K61">
        <f t="shared" si="104"/>
        <v>3.3375555138364179</v>
      </c>
      <c r="L61" s="3">
        <f t="shared" si="105"/>
        <v>-0.86038159561265837</v>
      </c>
    </row>
    <row r="62" spans="1:12" x14ac:dyDescent="0.3">
      <c r="A62" s="2" t="s">
        <v>23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3">
      <c r="A63">
        <f>0</f>
        <v>0</v>
      </c>
      <c r="B63">
        <v>0</v>
      </c>
      <c r="C63">
        <v>0</v>
      </c>
      <c r="D63">
        <f t="shared" ref="D63:D94" si="109">G63*A63+H63*B63+I63</f>
        <v>-0.86038159561265837</v>
      </c>
      <c r="E63">
        <f t="shared" ref="E63" si="110">1/(1+EXP(-D63))</f>
        <v>0.29725962556164093</v>
      </c>
      <c r="F63">
        <f t="shared" ref="F63:F66" si="111">C63-E63</f>
        <v>-0.29725962556164093</v>
      </c>
      <c r="G63">
        <f t="shared" ref="G63:I63" si="112">J61</f>
        <v>3.0668410367070327</v>
      </c>
      <c r="H63">
        <f t="shared" si="112"/>
        <v>3.3375555138364179</v>
      </c>
      <c r="I63">
        <f t="shared" si="112"/>
        <v>-0.86038159561265837</v>
      </c>
      <c r="J63">
        <f t="shared" ref="J63:J94" si="113">G63+F63*A63</f>
        <v>3.0668410367070327</v>
      </c>
      <c r="K63">
        <f t="shared" ref="K63:K94" si="114">H63+F63*B63</f>
        <v>3.3375555138364179</v>
      </c>
      <c r="L63" s="3">
        <f t="shared" ref="L63:L94" si="115">I63+F63</f>
        <v>-1.1576412211742992</v>
      </c>
    </row>
    <row r="64" spans="1:12" x14ac:dyDescent="0.3">
      <c r="A64">
        <v>0</v>
      </c>
      <c r="B64">
        <v>1</v>
      </c>
      <c r="C64">
        <v>1</v>
      </c>
      <c r="D64">
        <f t="shared" si="109"/>
        <v>2.1799142926621187</v>
      </c>
      <c r="E64">
        <f t="shared" si="10"/>
        <v>0.89843125135733271</v>
      </c>
      <c r="F64">
        <f t="shared" si="111"/>
        <v>0.10156874864266729</v>
      </c>
      <c r="G64">
        <f t="shared" ref="G64:G95" si="116">J63</f>
        <v>3.0668410367070327</v>
      </c>
      <c r="H64">
        <f t="shared" ref="H64:H95" si="117">K63</f>
        <v>3.3375555138364179</v>
      </c>
      <c r="I64">
        <f t="shared" ref="I64:I95" si="118">L63</f>
        <v>-1.1576412211742992</v>
      </c>
      <c r="J64">
        <f t="shared" si="113"/>
        <v>3.0668410367070327</v>
      </c>
      <c r="K64">
        <f t="shared" si="114"/>
        <v>3.4391242624790852</v>
      </c>
      <c r="L64" s="3">
        <f t="shared" si="115"/>
        <v>-1.0560724725316319</v>
      </c>
    </row>
    <row r="65" spans="1:12" x14ac:dyDescent="0.3">
      <c r="A65">
        <v>1</v>
      </c>
      <c r="B65">
        <v>0</v>
      </c>
      <c r="C65">
        <v>1</v>
      </c>
      <c r="D65">
        <f t="shared" si="109"/>
        <v>2.0107685641754007</v>
      </c>
      <c r="E65">
        <f t="shared" si="10"/>
        <v>0.88192307993306029</v>
      </c>
      <c r="F65">
        <f t="shared" si="111"/>
        <v>0.11807692006693971</v>
      </c>
      <c r="G65">
        <f t="shared" si="116"/>
        <v>3.0668410367070327</v>
      </c>
      <c r="H65">
        <f t="shared" si="117"/>
        <v>3.4391242624790852</v>
      </c>
      <c r="I65">
        <f t="shared" si="118"/>
        <v>-1.0560724725316319</v>
      </c>
      <c r="J65">
        <f t="shared" si="113"/>
        <v>3.1849179567739725</v>
      </c>
      <c r="K65">
        <f t="shared" si="114"/>
        <v>3.4391242624790852</v>
      </c>
      <c r="L65" s="3">
        <f t="shared" si="115"/>
        <v>-0.93799555246469224</v>
      </c>
    </row>
    <row r="66" spans="1:12" x14ac:dyDescent="0.3">
      <c r="A66">
        <v>1</v>
      </c>
      <c r="B66">
        <v>1</v>
      </c>
      <c r="C66">
        <v>1</v>
      </c>
      <c r="D66">
        <f t="shared" si="109"/>
        <v>5.6860466667883651</v>
      </c>
      <c r="E66">
        <f t="shared" si="10"/>
        <v>0.99661849331388996</v>
      </c>
      <c r="F66">
        <f t="shared" si="111"/>
        <v>3.3815066861100362E-3</v>
      </c>
      <c r="G66">
        <f t="shared" si="116"/>
        <v>3.1849179567739725</v>
      </c>
      <c r="H66">
        <f t="shared" si="117"/>
        <v>3.4391242624790852</v>
      </c>
      <c r="I66">
        <f t="shared" si="118"/>
        <v>-0.93799555246469224</v>
      </c>
      <c r="J66">
        <f t="shared" si="113"/>
        <v>3.1882994634600825</v>
      </c>
      <c r="K66">
        <f t="shared" si="114"/>
        <v>3.4425057691651952</v>
      </c>
      <c r="L66" s="3">
        <f t="shared" si="115"/>
        <v>-0.9346140457785822</v>
      </c>
    </row>
    <row r="67" spans="1:12" x14ac:dyDescent="0.3">
      <c r="A67" s="2" t="s">
        <v>24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3">
      <c r="A68">
        <f>0</f>
        <v>0</v>
      </c>
      <c r="B68">
        <v>0</v>
      </c>
      <c r="C68">
        <v>0</v>
      </c>
      <c r="D68">
        <f t="shared" ref="D68:D99" si="119">G68*A68+H68*B68+I68</f>
        <v>-0.9346140457785822</v>
      </c>
      <c r="E68">
        <f t="shared" ref="E68" si="120">1/(1+EXP(-D68))</f>
        <v>0.28198956295156608</v>
      </c>
      <c r="F68">
        <f t="shared" ref="F68:F71" si="121">C68-E68</f>
        <v>-0.28198956295156608</v>
      </c>
      <c r="G68">
        <f t="shared" ref="G68:I68" si="122">J66</f>
        <v>3.1882994634600825</v>
      </c>
      <c r="H68">
        <f t="shared" si="122"/>
        <v>3.4425057691651952</v>
      </c>
      <c r="I68">
        <f t="shared" si="122"/>
        <v>-0.9346140457785822</v>
      </c>
      <c r="J68">
        <f t="shared" ref="J68:J99" si="123">G68+F68*A68</f>
        <v>3.1882994634600825</v>
      </c>
      <c r="K68">
        <f t="shared" ref="K68:K99" si="124">H68+F68*B68</f>
        <v>3.4425057691651952</v>
      </c>
      <c r="L68" s="3">
        <f t="shared" ref="L68:L99" si="125">I68+F68</f>
        <v>-1.2166036087301482</v>
      </c>
    </row>
    <row r="69" spans="1:12" x14ac:dyDescent="0.3">
      <c r="A69">
        <v>0</v>
      </c>
      <c r="B69">
        <v>1</v>
      </c>
      <c r="C69">
        <v>1</v>
      </c>
      <c r="D69">
        <f t="shared" si="119"/>
        <v>2.2259021604350471</v>
      </c>
      <c r="E69">
        <f t="shared" si="10"/>
        <v>0.90255153882831662</v>
      </c>
      <c r="F69">
        <f t="shared" si="121"/>
        <v>9.7448461171683376E-2</v>
      </c>
      <c r="G69">
        <f t="shared" ref="G69:G100" si="126">J68</f>
        <v>3.1882994634600825</v>
      </c>
      <c r="H69">
        <f t="shared" ref="H69:H100" si="127">K68</f>
        <v>3.4425057691651952</v>
      </c>
      <c r="I69">
        <f t="shared" ref="I69:I100" si="128">L68</f>
        <v>-1.2166036087301482</v>
      </c>
      <c r="J69">
        <f t="shared" si="123"/>
        <v>3.1882994634600825</v>
      </c>
      <c r="K69">
        <f t="shared" si="124"/>
        <v>3.5399542303368787</v>
      </c>
      <c r="L69" s="3">
        <f t="shared" si="125"/>
        <v>-1.1191551475584647</v>
      </c>
    </row>
    <row r="70" spans="1:12" x14ac:dyDescent="0.3">
      <c r="A70">
        <v>1</v>
      </c>
      <c r="B70">
        <v>0</v>
      </c>
      <c r="C70">
        <v>1</v>
      </c>
      <c r="D70">
        <f t="shared" si="119"/>
        <v>2.0691443159016178</v>
      </c>
      <c r="E70">
        <f t="shared" si="10"/>
        <v>0.88786779902734125</v>
      </c>
      <c r="F70">
        <f t="shared" si="121"/>
        <v>0.11213220097265875</v>
      </c>
      <c r="G70">
        <f t="shared" si="126"/>
        <v>3.1882994634600825</v>
      </c>
      <c r="H70">
        <f t="shared" si="127"/>
        <v>3.5399542303368787</v>
      </c>
      <c r="I70">
        <f t="shared" si="128"/>
        <v>-1.1191551475584647</v>
      </c>
      <c r="J70">
        <f t="shared" si="123"/>
        <v>3.3004316644327414</v>
      </c>
      <c r="K70">
        <f t="shared" si="124"/>
        <v>3.5399542303368787</v>
      </c>
      <c r="L70" s="3">
        <f t="shared" si="125"/>
        <v>-1.0070229465858058</v>
      </c>
    </row>
    <row r="71" spans="1:12" x14ac:dyDescent="0.3">
      <c r="A71">
        <v>1</v>
      </c>
      <c r="B71">
        <v>1</v>
      </c>
      <c r="C71">
        <v>1</v>
      </c>
      <c r="D71">
        <f t="shared" si="119"/>
        <v>5.8333629481838134</v>
      </c>
      <c r="E71">
        <f t="shared" si="10"/>
        <v>0.99708033642182747</v>
      </c>
      <c r="F71">
        <f t="shared" si="121"/>
        <v>2.9196635781725266E-3</v>
      </c>
      <c r="G71">
        <f t="shared" si="126"/>
        <v>3.3004316644327414</v>
      </c>
      <c r="H71">
        <f t="shared" si="127"/>
        <v>3.5399542303368787</v>
      </c>
      <c r="I71">
        <f t="shared" si="128"/>
        <v>-1.0070229465858058</v>
      </c>
      <c r="J71">
        <f t="shared" si="123"/>
        <v>3.3033513280109137</v>
      </c>
      <c r="K71">
        <f t="shared" si="124"/>
        <v>3.5428738939150515</v>
      </c>
      <c r="L71" s="3">
        <f t="shared" si="125"/>
        <v>-1.0041032830076333</v>
      </c>
    </row>
    <row r="72" spans="1:12" x14ac:dyDescent="0.3">
      <c r="A72" s="2" t="s">
        <v>25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3">
      <c r="A73">
        <f>0</f>
        <v>0</v>
      </c>
      <c r="B73">
        <v>0</v>
      </c>
      <c r="C73">
        <v>0</v>
      </c>
      <c r="D73">
        <f t="shared" ref="D73:D117" si="129">G73*A73+H73*B73+I73</f>
        <v>-1.0041032830076333</v>
      </c>
      <c r="E73">
        <f t="shared" ref="E73" si="130">1/(1+EXP(-D73))</f>
        <v>0.2681354322533579</v>
      </c>
      <c r="F73">
        <f t="shared" ref="F73:F76" si="131">C73-E73</f>
        <v>-0.2681354322533579</v>
      </c>
      <c r="G73">
        <f t="shared" ref="G73:I73" si="132">J71</f>
        <v>3.3033513280109137</v>
      </c>
      <c r="H73">
        <f t="shared" si="132"/>
        <v>3.5428738939150515</v>
      </c>
      <c r="I73">
        <f t="shared" si="132"/>
        <v>-1.0041032830076333</v>
      </c>
      <c r="J73">
        <f t="shared" ref="J73:J117" si="133">G73+F73*A73</f>
        <v>3.3033513280109137</v>
      </c>
      <c r="K73">
        <f t="shared" ref="K73:K117" si="134">H73+F73*B73</f>
        <v>3.5428738939150515</v>
      </c>
      <c r="L73" s="3">
        <f t="shared" ref="L73:L117" si="135">I73+F73</f>
        <v>-1.2722387152609911</v>
      </c>
    </row>
    <row r="74" spans="1:12" x14ac:dyDescent="0.3">
      <c r="A74">
        <v>0</v>
      </c>
      <c r="B74">
        <v>1</v>
      </c>
      <c r="C74">
        <v>1</v>
      </c>
      <c r="D74">
        <f t="shared" si="129"/>
        <v>2.2706351786540604</v>
      </c>
      <c r="E74">
        <f t="shared" si="10"/>
        <v>0.90641568152407381</v>
      </c>
      <c r="F74">
        <f t="shared" si="131"/>
        <v>9.3584318475926187E-2</v>
      </c>
      <c r="G74">
        <f t="shared" ref="G74:G117" si="136">J73</f>
        <v>3.3033513280109137</v>
      </c>
      <c r="H74">
        <f t="shared" ref="H74:H117" si="137">K73</f>
        <v>3.5428738939150515</v>
      </c>
      <c r="I74">
        <f t="shared" ref="I74:I117" si="138">L73</f>
        <v>-1.2722387152609911</v>
      </c>
      <c r="J74">
        <f t="shared" si="133"/>
        <v>3.3033513280109137</v>
      </c>
      <c r="K74">
        <f t="shared" si="134"/>
        <v>3.6364582123909779</v>
      </c>
      <c r="L74" s="3">
        <f t="shared" si="135"/>
        <v>-1.1786543967850649</v>
      </c>
    </row>
    <row r="75" spans="1:12" x14ac:dyDescent="0.3">
      <c r="A75">
        <v>1</v>
      </c>
      <c r="B75">
        <v>0</v>
      </c>
      <c r="C75">
        <v>1</v>
      </c>
      <c r="D75">
        <f t="shared" si="129"/>
        <v>2.1246969312258486</v>
      </c>
      <c r="E75">
        <f t="shared" si="10"/>
        <v>0.89328051781992512</v>
      </c>
      <c r="F75">
        <f t="shared" si="131"/>
        <v>0.10671948218007488</v>
      </c>
      <c r="G75">
        <f t="shared" si="136"/>
        <v>3.3033513280109137</v>
      </c>
      <c r="H75">
        <f t="shared" si="137"/>
        <v>3.6364582123909779</v>
      </c>
      <c r="I75">
        <f t="shared" si="138"/>
        <v>-1.1786543967850649</v>
      </c>
      <c r="J75">
        <f t="shared" si="133"/>
        <v>3.4100708101909887</v>
      </c>
      <c r="K75">
        <f t="shared" si="134"/>
        <v>3.6364582123909779</v>
      </c>
      <c r="L75" s="3">
        <f t="shared" si="135"/>
        <v>-1.0719349146049901</v>
      </c>
    </row>
    <row r="76" spans="1:12" x14ac:dyDescent="0.3">
      <c r="A76">
        <v>1</v>
      </c>
      <c r="B76">
        <v>1</v>
      </c>
      <c r="C76">
        <v>1</v>
      </c>
      <c r="D76">
        <f t="shared" si="129"/>
        <v>5.9745941079769764</v>
      </c>
      <c r="E76">
        <f t="shared" si="10"/>
        <v>0.99746391421244129</v>
      </c>
      <c r="F76">
        <f t="shared" si="131"/>
        <v>2.5360857875587062E-3</v>
      </c>
      <c r="G76">
        <f t="shared" si="136"/>
        <v>3.4100708101909887</v>
      </c>
      <c r="H76">
        <f t="shared" si="137"/>
        <v>3.6364582123909779</v>
      </c>
      <c r="I76">
        <f t="shared" si="138"/>
        <v>-1.0719349146049901</v>
      </c>
      <c r="J76">
        <f t="shared" si="133"/>
        <v>3.4126068959785476</v>
      </c>
      <c r="K76">
        <f t="shared" si="134"/>
        <v>3.6389942981785364</v>
      </c>
      <c r="L76" s="3">
        <f t="shared" si="135"/>
        <v>-1.0693988288174314</v>
      </c>
    </row>
    <row r="77" spans="1:12" x14ac:dyDescent="0.3">
      <c r="A77" s="2" t="s">
        <v>26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3">
      <c r="A78">
        <f>0</f>
        <v>0</v>
      </c>
      <c r="B78">
        <v>0</v>
      </c>
      <c r="C78">
        <v>0</v>
      </c>
      <c r="D78">
        <f t="shared" ref="D78:D117" si="139">G78*A78+H78*B78+I78</f>
        <v>-1.0693988288174314</v>
      </c>
      <c r="E78">
        <f t="shared" ref="E78:E116" si="140">1/(1+EXP(-D78))</f>
        <v>0.25551742711839553</v>
      </c>
      <c r="F78">
        <f t="shared" ref="F78:F81" si="141">C78-E78</f>
        <v>-0.25551742711839553</v>
      </c>
      <c r="G78">
        <f t="shared" ref="G78:I78" si="142">J76</f>
        <v>3.4126068959785476</v>
      </c>
      <c r="H78">
        <f t="shared" si="142"/>
        <v>3.6389942981785364</v>
      </c>
      <c r="I78">
        <f t="shared" si="142"/>
        <v>-1.0693988288174314</v>
      </c>
      <c r="J78">
        <f t="shared" ref="J78:J117" si="143">G78+F78*A78</f>
        <v>3.4126068959785476</v>
      </c>
      <c r="K78">
        <f t="shared" ref="K78:K117" si="144">H78+F78*B78</f>
        <v>3.6389942981785364</v>
      </c>
      <c r="L78" s="3">
        <f t="shared" ref="L78:L117" si="145">I78+F78</f>
        <v>-1.324916255935827</v>
      </c>
    </row>
    <row r="79" spans="1:12" x14ac:dyDescent="0.3">
      <c r="A79">
        <v>0</v>
      </c>
      <c r="B79">
        <v>1</v>
      </c>
      <c r="C79">
        <v>1</v>
      </c>
      <c r="D79">
        <f t="shared" si="139"/>
        <v>2.3140780422427092</v>
      </c>
      <c r="E79">
        <f t="shared" si="140"/>
        <v>0.91003628436717887</v>
      </c>
      <c r="F79">
        <f t="shared" si="141"/>
        <v>8.9963715632821128E-2</v>
      </c>
      <c r="G79">
        <f t="shared" ref="G79:G117" si="146">J78</f>
        <v>3.4126068959785476</v>
      </c>
      <c r="H79">
        <f t="shared" ref="H79:H117" si="147">K78</f>
        <v>3.6389942981785364</v>
      </c>
      <c r="I79">
        <f t="shared" ref="I79:I117" si="148">L78</f>
        <v>-1.324916255935827</v>
      </c>
      <c r="J79">
        <f t="shared" si="143"/>
        <v>3.4126068959785476</v>
      </c>
      <c r="K79">
        <f t="shared" si="144"/>
        <v>3.7289580138113574</v>
      </c>
      <c r="L79" s="3">
        <f t="shared" si="145"/>
        <v>-1.2349525403030057</v>
      </c>
    </row>
    <row r="80" spans="1:12" x14ac:dyDescent="0.3">
      <c r="A80">
        <v>1</v>
      </c>
      <c r="B80">
        <v>0</v>
      </c>
      <c r="C80">
        <v>1</v>
      </c>
      <c r="D80">
        <f t="shared" si="139"/>
        <v>2.1776543556755419</v>
      </c>
      <c r="E80">
        <f t="shared" si="140"/>
        <v>0.89822484060123109</v>
      </c>
      <c r="F80">
        <f t="shared" si="141"/>
        <v>0.10177515939876891</v>
      </c>
      <c r="G80">
        <f t="shared" si="146"/>
        <v>3.4126068959785476</v>
      </c>
      <c r="H80">
        <f t="shared" si="147"/>
        <v>3.7289580138113574</v>
      </c>
      <c r="I80">
        <f t="shared" si="148"/>
        <v>-1.2349525403030057</v>
      </c>
      <c r="J80">
        <f t="shared" si="143"/>
        <v>3.5143820553773164</v>
      </c>
      <c r="K80">
        <f t="shared" si="144"/>
        <v>3.7289580138113574</v>
      </c>
      <c r="L80" s="3">
        <f t="shared" si="145"/>
        <v>-1.1331773809042369</v>
      </c>
    </row>
    <row r="81" spans="1:12" x14ac:dyDescent="0.3">
      <c r="A81">
        <v>1</v>
      </c>
      <c r="B81">
        <v>1</v>
      </c>
      <c r="C81">
        <v>1</v>
      </c>
      <c r="D81">
        <f t="shared" si="139"/>
        <v>6.1101626882844373</v>
      </c>
      <c r="E81">
        <f t="shared" si="140"/>
        <v>0.99778472873760315</v>
      </c>
      <c r="F81">
        <f t="shared" si="141"/>
        <v>2.2152712623968451E-3</v>
      </c>
      <c r="G81">
        <f t="shared" si="146"/>
        <v>3.5143820553773164</v>
      </c>
      <c r="H81">
        <f t="shared" si="147"/>
        <v>3.7289580138113574</v>
      </c>
      <c r="I81">
        <f t="shared" si="148"/>
        <v>-1.1331773809042369</v>
      </c>
      <c r="J81">
        <f t="shared" si="143"/>
        <v>3.5165973266397135</v>
      </c>
      <c r="K81">
        <f t="shared" si="144"/>
        <v>3.731173285073754</v>
      </c>
      <c r="L81" s="3">
        <f t="shared" si="145"/>
        <v>-1.1309621096418401</v>
      </c>
    </row>
    <row r="82" spans="1:12" x14ac:dyDescent="0.3">
      <c r="A82" s="2" t="s">
        <v>27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3">
      <c r="A83">
        <f>0</f>
        <v>0</v>
      </c>
      <c r="B83">
        <v>0</v>
      </c>
      <c r="C83">
        <v>0</v>
      </c>
      <c r="D83">
        <f t="shared" ref="D83:D117" si="149">G83*A83+H83*B83+I83</f>
        <v>-1.1309621096418401</v>
      </c>
      <c r="E83">
        <f t="shared" ref="E83" si="150">1/(1+EXP(-D83))</f>
        <v>0.2439835906858312</v>
      </c>
      <c r="F83">
        <f t="shared" ref="F83:F86" si="151">C83-E83</f>
        <v>-0.2439835906858312</v>
      </c>
      <c r="G83">
        <f t="shared" ref="G83:I83" si="152">J81</f>
        <v>3.5165973266397135</v>
      </c>
      <c r="H83">
        <f t="shared" si="152"/>
        <v>3.731173285073754</v>
      </c>
      <c r="I83">
        <f t="shared" si="152"/>
        <v>-1.1309621096418401</v>
      </c>
      <c r="J83">
        <f t="shared" ref="J83:J117" si="153">G83+F83*A83</f>
        <v>3.5165973266397135</v>
      </c>
      <c r="K83">
        <f t="shared" ref="K83:K117" si="154">H83+F83*B83</f>
        <v>3.731173285073754</v>
      </c>
      <c r="L83" s="3">
        <f t="shared" ref="L83:L117" si="155">I83+F83</f>
        <v>-1.3749457003276713</v>
      </c>
    </row>
    <row r="84" spans="1:12" x14ac:dyDescent="0.3">
      <c r="A84">
        <v>0</v>
      </c>
      <c r="B84">
        <v>1</v>
      </c>
      <c r="C84">
        <v>1</v>
      </c>
      <c r="D84">
        <f t="shared" si="149"/>
        <v>2.3562275847460827</v>
      </c>
      <c r="E84">
        <f t="shared" si="140"/>
        <v>0.91342795788505371</v>
      </c>
      <c r="F84">
        <f t="shared" si="151"/>
        <v>8.657204211494629E-2</v>
      </c>
      <c r="G84">
        <f t="shared" ref="G84:G117" si="156">J83</f>
        <v>3.5165973266397135</v>
      </c>
      <c r="H84">
        <f t="shared" ref="H84:H117" si="157">K83</f>
        <v>3.731173285073754</v>
      </c>
      <c r="I84">
        <f t="shared" ref="I84:I117" si="158">L83</f>
        <v>-1.3749457003276713</v>
      </c>
      <c r="J84">
        <f t="shared" si="153"/>
        <v>3.5165973266397135</v>
      </c>
      <c r="K84">
        <f t="shared" si="154"/>
        <v>3.8177453271887005</v>
      </c>
      <c r="L84" s="3">
        <f t="shared" si="155"/>
        <v>-1.288373658212725</v>
      </c>
    </row>
    <row r="85" spans="1:12" x14ac:dyDescent="0.3">
      <c r="A85">
        <v>1</v>
      </c>
      <c r="B85">
        <v>0</v>
      </c>
      <c r="C85">
        <v>1</v>
      </c>
      <c r="D85">
        <f t="shared" si="149"/>
        <v>2.2282236684269883</v>
      </c>
      <c r="E85">
        <f t="shared" si="140"/>
        <v>0.90275552997276609</v>
      </c>
      <c r="F85">
        <f t="shared" si="151"/>
        <v>9.7244470027233909E-2</v>
      </c>
      <c r="G85">
        <f t="shared" si="156"/>
        <v>3.5165973266397135</v>
      </c>
      <c r="H85">
        <f t="shared" si="157"/>
        <v>3.8177453271887005</v>
      </c>
      <c r="I85">
        <f t="shared" si="158"/>
        <v>-1.288373658212725</v>
      </c>
      <c r="J85">
        <f t="shared" si="153"/>
        <v>3.6138417966669474</v>
      </c>
      <c r="K85">
        <f t="shared" si="154"/>
        <v>3.8177453271887005</v>
      </c>
      <c r="L85" s="3">
        <f t="shared" si="155"/>
        <v>-1.1911291881854911</v>
      </c>
    </row>
    <row r="86" spans="1:12" x14ac:dyDescent="0.3">
      <c r="A86">
        <v>1</v>
      </c>
      <c r="B86">
        <v>1</v>
      </c>
      <c r="C86">
        <v>1</v>
      </c>
      <c r="D86">
        <f t="shared" si="149"/>
        <v>6.2404579356701566</v>
      </c>
      <c r="E86">
        <f t="shared" si="140"/>
        <v>0.99805482824855429</v>
      </c>
      <c r="F86">
        <f t="shared" si="151"/>
        <v>1.9451717514457068E-3</v>
      </c>
      <c r="G86">
        <f t="shared" si="156"/>
        <v>3.6138417966669474</v>
      </c>
      <c r="H86">
        <f t="shared" si="157"/>
        <v>3.8177453271887005</v>
      </c>
      <c r="I86">
        <f t="shared" si="158"/>
        <v>-1.1911291881854911</v>
      </c>
      <c r="J86">
        <f t="shared" si="153"/>
        <v>3.615786968418393</v>
      </c>
      <c r="K86">
        <f t="shared" si="154"/>
        <v>3.8196904989401461</v>
      </c>
      <c r="L86" s="3">
        <f t="shared" si="155"/>
        <v>-1.1891840164340453</v>
      </c>
    </row>
    <row r="87" spans="1:12" x14ac:dyDescent="0.3">
      <c r="A87" s="2" t="s">
        <v>28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3">
      <c r="A88">
        <f>0</f>
        <v>0</v>
      </c>
      <c r="B88">
        <v>0</v>
      </c>
      <c r="C88">
        <v>0</v>
      </c>
      <c r="D88">
        <f t="shared" ref="D88:D117" si="159">G88*A88+H88*B88+I88</f>
        <v>-1.1891840164340453</v>
      </c>
      <c r="E88">
        <f t="shared" ref="E88" si="160">1/(1+EXP(-D88))</f>
        <v>0.2334049055463846</v>
      </c>
      <c r="F88">
        <f t="shared" ref="F88:F91" si="161">C88-E88</f>
        <v>-0.2334049055463846</v>
      </c>
      <c r="G88">
        <f t="shared" ref="G88:I88" si="162">J86</f>
        <v>3.615786968418393</v>
      </c>
      <c r="H88">
        <f t="shared" si="162"/>
        <v>3.8196904989401461</v>
      </c>
      <c r="I88">
        <f t="shared" si="162"/>
        <v>-1.1891840164340453</v>
      </c>
      <c r="J88">
        <f t="shared" ref="J88:J117" si="163">G88+F88*A88</f>
        <v>3.615786968418393</v>
      </c>
      <c r="K88">
        <f t="shared" ref="K88:K117" si="164">H88+F88*B88</f>
        <v>3.8196904989401461</v>
      </c>
      <c r="L88" s="3">
        <f t="shared" ref="L88:L117" si="165">I88+F88</f>
        <v>-1.42258892198043</v>
      </c>
    </row>
    <row r="89" spans="1:12" x14ac:dyDescent="0.3">
      <c r="A89">
        <v>0</v>
      </c>
      <c r="B89">
        <v>1</v>
      </c>
      <c r="C89">
        <v>1</v>
      </c>
      <c r="D89">
        <f t="shared" si="159"/>
        <v>2.3971015769597162</v>
      </c>
      <c r="E89">
        <f t="shared" si="140"/>
        <v>0.91660601706939793</v>
      </c>
      <c r="F89">
        <f t="shared" si="161"/>
        <v>8.3393982930602073E-2</v>
      </c>
      <c r="G89">
        <f t="shared" ref="G89:G117" si="166">J88</f>
        <v>3.615786968418393</v>
      </c>
      <c r="H89">
        <f t="shared" ref="H89:H117" si="167">K88</f>
        <v>3.8196904989401461</v>
      </c>
      <c r="I89">
        <f t="shared" ref="I89:I117" si="168">L88</f>
        <v>-1.42258892198043</v>
      </c>
      <c r="J89">
        <f t="shared" si="163"/>
        <v>3.615786968418393</v>
      </c>
      <c r="K89">
        <f t="shared" si="164"/>
        <v>3.9030844818707484</v>
      </c>
      <c r="L89" s="3">
        <f t="shared" si="165"/>
        <v>-1.3391949390498279</v>
      </c>
    </row>
    <row r="90" spans="1:12" x14ac:dyDescent="0.3">
      <c r="A90">
        <v>1</v>
      </c>
      <c r="B90">
        <v>0</v>
      </c>
      <c r="C90">
        <v>1</v>
      </c>
      <c r="D90">
        <f t="shared" si="159"/>
        <v>2.2765920293685653</v>
      </c>
      <c r="E90">
        <f t="shared" si="140"/>
        <v>0.90691975725647211</v>
      </c>
      <c r="F90">
        <f t="shared" si="161"/>
        <v>9.3080242743527886E-2</v>
      </c>
      <c r="G90">
        <f t="shared" si="166"/>
        <v>3.615786968418393</v>
      </c>
      <c r="H90">
        <f t="shared" si="167"/>
        <v>3.9030844818707484</v>
      </c>
      <c r="I90">
        <f t="shared" si="168"/>
        <v>-1.3391949390498279</v>
      </c>
      <c r="J90">
        <f t="shared" si="163"/>
        <v>3.708867211161921</v>
      </c>
      <c r="K90">
        <f t="shared" si="164"/>
        <v>3.9030844818707484</v>
      </c>
      <c r="L90" s="3">
        <f t="shared" si="165"/>
        <v>-1.2461146963063001</v>
      </c>
    </row>
    <row r="91" spans="1:12" x14ac:dyDescent="0.3">
      <c r="A91">
        <v>1</v>
      </c>
      <c r="B91">
        <v>1</v>
      </c>
      <c r="C91">
        <v>1</v>
      </c>
      <c r="D91">
        <f t="shared" si="159"/>
        <v>6.3658369967263688</v>
      </c>
      <c r="E91">
        <f t="shared" si="140"/>
        <v>0.99828364911816647</v>
      </c>
      <c r="F91">
        <f t="shared" si="161"/>
        <v>1.7163508818335282E-3</v>
      </c>
      <c r="G91">
        <f t="shared" si="166"/>
        <v>3.708867211161921</v>
      </c>
      <c r="H91">
        <f t="shared" si="167"/>
        <v>3.9030844818707484</v>
      </c>
      <c r="I91">
        <f t="shared" si="168"/>
        <v>-1.2461146963063001</v>
      </c>
      <c r="J91">
        <f t="shared" si="163"/>
        <v>3.7105835620437544</v>
      </c>
      <c r="K91">
        <f t="shared" si="164"/>
        <v>3.9048008327525818</v>
      </c>
      <c r="L91" s="3">
        <f t="shared" si="165"/>
        <v>-1.2443983454244667</v>
      </c>
    </row>
    <row r="92" spans="1:12" x14ac:dyDescent="0.3">
      <c r="A92" s="2" t="s">
        <v>29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3">
      <c r="A93">
        <f>0</f>
        <v>0</v>
      </c>
      <c r="B93">
        <v>0</v>
      </c>
      <c r="C93">
        <v>0</v>
      </c>
      <c r="D93">
        <f t="shared" ref="D93:D117" si="169">G93*A93+H93*B93+I93</f>
        <v>-1.2443983454244667</v>
      </c>
      <c r="E93">
        <f t="shared" ref="E93" si="170">1/(1+EXP(-D93))</f>
        <v>0.22367131807757076</v>
      </c>
      <c r="F93">
        <f t="shared" ref="F93:F96" si="171">C93-E93</f>
        <v>-0.22367131807757076</v>
      </c>
      <c r="G93">
        <f t="shared" ref="G93:I93" si="172">J91</f>
        <v>3.7105835620437544</v>
      </c>
      <c r="H93">
        <f t="shared" si="172"/>
        <v>3.9048008327525818</v>
      </c>
      <c r="I93">
        <f t="shared" si="172"/>
        <v>-1.2443983454244667</v>
      </c>
      <c r="J93">
        <f t="shared" ref="J93:J117" si="173">G93+F93*A93</f>
        <v>3.7105835620437544</v>
      </c>
      <c r="K93">
        <f t="shared" ref="K93:K117" si="174">H93+F93*B93</f>
        <v>3.9048008327525818</v>
      </c>
      <c r="L93" s="3">
        <f t="shared" ref="L93:L117" si="175">I93+F93</f>
        <v>-1.4680696635020374</v>
      </c>
    </row>
    <row r="94" spans="1:12" x14ac:dyDescent="0.3">
      <c r="A94">
        <v>0</v>
      </c>
      <c r="B94">
        <v>1</v>
      </c>
      <c r="C94">
        <v>1</v>
      </c>
      <c r="D94">
        <f t="shared" si="169"/>
        <v>2.4367311692505442</v>
      </c>
      <c r="E94">
        <f t="shared" si="140"/>
        <v>0.91958569613901731</v>
      </c>
      <c r="F94">
        <f t="shared" si="171"/>
        <v>8.0414303860982694E-2</v>
      </c>
      <c r="G94">
        <f t="shared" ref="G94:G117" si="176">J93</f>
        <v>3.7105835620437544</v>
      </c>
      <c r="H94">
        <f t="shared" ref="H94:H117" si="177">K93</f>
        <v>3.9048008327525818</v>
      </c>
      <c r="I94">
        <f t="shared" ref="I94:I117" si="178">L93</f>
        <v>-1.4680696635020374</v>
      </c>
      <c r="J94">
        <f t="shared" si="173"/>
        <v>3.7105835620437544</v>
      </c>
      <c r="K94">
        <f t="shared" si="174"/>
        <v>3.9852151366135646</v>
      </c>
      <c r="L94" s="3">
        <f t="shared" si="175"/>
        <v>-1.3876553596410548</v>
      </c>
    </row>
    <row r="95" spans="1:12" x14ac:dyDescent="0.3">
      <c r="A95">
        <v>1</v>
      </c>
      <c r="B95">
        <v>0</v>
      </c>
      <c r="C95">
        <v>1</v>
      </c>
      <c r="D95">
        <f t="shared" si="169"/>
        <v>2.3229282024026996</v>
      </c>
      <c r="E95">
        <f t="shared" si="140"/>
        <v>0.91075822460065936</v>
      </c>
      <c r="F95">
        <f t="shared" si="171"/>
        <v>8.9241775399340639E-2</v>
      </c>
      <c r="G95">
        <f t="shared" si="176"/>
        <v>3.7105835620437544</v>
      </c>
      <c r="H95">
        <f t="shared" si="177"/>
        <v>3.9852151366135646</v>
      </c>
      <c r="I95">
        <f t="shared" si="178"/>
        <v>-1.3876553596410548</v>
      </c>
      <c r="J95">
        <f t="shared" si="173"/>
        <v>3.799825337443095</v>
      </c>
      <c r="K95">
        <f t="shared" si="174"/>
        <v>3.9852151366135646</v>
      </c>
      <c r="L95" s="3">
        <f t="shared" si="175"/>
        <v>-1.2984135842417142</v>
      </c>
    </row>
    <row r="96" spans="1:12" x14ac:dyDescent="0.3">
      <c r="A96">
        <v>1</v>
      </c>
      <c r="B96">
        <v>1</v>
      </c>
      <c r="C96">
        <v>1</v>
      </c>
      <c r="D96">
        <f t="shared" si="169"/>
        <v>6.4866268898149446</v>
      </c>
      <c r="E96">
        <f t="shared" si="140"/>
        <v>0.99847863817856897</v>
      </c>
      <c r="F96">
        <f t="shared" si="171"/>
        <v>1.5213618214310332E-3</v>
      </c>
      <c r="G96">
        <f t="shared" si="176"/>
        <v>3.799825337443095</v>
      </c>
      <c r="H96">
        <f t="shared" si="177"/>
        <v>3.9852151366135646</v>
      </c>
      <c r="I96">
        <f t="shared" si="178"/>
        <v>-1.2984135842417142</v>
      </c>
      <c r="J96">
        <f t="shared" si="173"/>
        <v>3.801346699264526</v>
      </c>
      <c r="K96">
        <f t="shared" si="174"/>
        <v>3.9867364984349956</v>
      </c>
      <c r="L96" s="3">
        <f t="shared" si="175"/>
        <v>-1.2968922224202832</v>
      </c>
    </row>
    <row r="97" spans="1:12" x14ac:dyDescent="0.3">
      <c r="A97" s="2" t="s">
        <v>30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3">
      <c r="A98">
        <f>0</f>
        <v>0</v>
      </c>
      <c r="B98">
        <v>0</v>
      </c>
      <c r="C98">
        <v>0</v>
      </c>
      <c r="D98">
        <f t="shared" ref="D98:D117" si="179">G98*A98+H98*B98+I98</f>
        <v>-1.2968922224202832</v>
      </c>
      <c r="E98">
        <f t="shared" ref="E98" si="180">1/(1+EXP(-D98))</f>
        <v>0.21468851544343701</v>
      </c>
      <c r="F98">
        <f t="shared" ref="F98:F101" si="181">C98-E98</f>
        <v>-0.21468851544343701</v>
      </c>
      <c r="G98">
        <f t="shared" ref="G98:I98" si="182">J96</f>
        <v>3.801346699264526</v>
      </c>
      <c r="H98">
        <f t="shared" si="182"/>
        <v>3.9867364984349956</v>
      </c>
      <c r="I98">
        <f t="shared" si="182"/>
        <v>-1.2968922224202832</v>
      </c>
      <c r="J98">
        <f t="shared" ref="J98:J117" si="183">G98+F98*A98</f>
        <v>3.801346699264526</v>
      </c>
      <c r="K98">
        <f t="shared" ref="K98:K117" si="184">H98+F98*B98</f>
        <v>3.9867364984349956</v>
      </c>
      <c r="L98" s="3">
        <f t="shared" ref="L98:L117" si="185">I98+F98</f>
        <v>-1.5115807378637203</v>
      </c>
    </row>
    <row r="99" spans="1:12" x14ac:dyDescent="0.3">
      <c r="A99">
        <v>0</v>
      </c>
      <c r="B99">
        <v>1</v>
      </c>
      <c r="C99">
        <v>1</v>
      </c>
      <c r="D99">
        <f t="shared" si="179"/>
        <v>2.4751557605712753</v>
      </c>
      <c r="E99">
        <f t="shared" si="140"/>
        <v>0.92238168965409351</v>
      </c>
      <c r="F99">
        <f t="shared" si="181"/>
        <v>7.7618310345906494E-2</v>
      </c>
      <c r="G99">
        <f t="shared" ref="G99:G117" si="186">J98</f>
        <v>3.801346699264526</v>
      </c>
      <c r="H99">
        <f t="shared" ref="H99:H117" si="187">K98</f>
        <v>3.9867364984349956</v>
      </c>
      <c r="I99">
        <f t="shared" ref="I99:I117" si="188">L98</f>
        <v>-1.5115807378637203</v>
      </c>
      <c r="J99">
        <f t="shared" si="183"/>
        <v>3.801346699264526</v>
      </c>
      <c r="K99">
        <f t="shared" si="184"/>
        <v>4.0643548087809016</v>
      </c>
      <c r="L99" s="3">
        <f t="shared" si="185"/>
        <v>-1.4339624275178138</v>
      </c>
    </row>
    <row r="100" spans="1:12" x14ac:dyDescent="0.3">
      <c r="A100">
        <v>1</v>
      </c>
      <c r="B100">
        <v>0</v>
      </c>
      <c r="C100">
        <v>1</v>
      </c>
      <c r="D100">
        <f t="shared" si="179"/>
        <v>2.3673842717467122</v>
      </c>
      <c r="E100">
        <f t="shared" si="140"/>
        <v>0.91430613912574143</v>
      </c>
      <c r="F100">
        <f t="shared" si="181"/>
        <v>8.5693860874258565E-2</v>
      </c>
      <c r="G100">
        <f t="shared" si="186"/>
        <v>3.801346699264526</v>
      </c>
      <c r="H100">
        <f t="shared" si="187"/>
        <v>4.0643548087809016</v>
      </c>
      <c r="I100">
        <f t="shared" si="188"/>
        <v>-1.4339624275178138</v>
      </c>
      <c r="J100">
        <f t="shared" si="183"/>
        <v>3.8870405601387845</v>
      </c>
      <c r="K100">
        <f t="shared" si="184"/>
        <v>4.0643548087809016</v>
      </c>
      <c r="L100" s="3">
        <f t="shared" si="185"/>
        <v>-1.3482685666435552</v>
      </c>
    </row>
    <row r="101" spans="1:12" x14ac:dyDescent="0.3">
      <c r="A101">
        <v>1</v>
      </c>
      <c r="B101">
        <v>1</v>
      </c>
      <c r="C101">
        <v>1</v>
      </c>
      <c r="D101">
        <f t="shared" si="179"/>
        <v>6.6031268022761305</v>
      </c>
      <c r="E101">
        <f t="shared" si="140"/>
        <v>0.99864571549493208</v>
      </c>
      <c r="F101">
        <f t="shared" si="181"/>
        <v>1.3542845050679153E-3</v>
      </c>
      <c r="G101">
        <f t="shared" si="186"/>
        <v>3.8870405601387845</v>
      </c>
      <c r="H101">
        <f t="shared" si="187"/>
        <v>4.0643548087809016</v>
      </c>
      <c r="I101">
        <f t="shared" si="188"/>
        <v>-1.3482685666435552</v>
      </c>
      <c r="J101">
        <f t="shared" si="183"/>
        <v>3.8883948446438525</v>
      </c>
      <c r="K101">
        <f t="shared" si="184"/>
        <v>4.0657090932859692</v>
      </c>
      <c r="L101" s="3">
        <f t="shared" si="185"/>
        <v>-1.3469142821384872</v>
      </c>
    </row>
    <row r="102" spans="1:12" x14ac:dyDescent="0.3">
      <c r="A102" s="2" t="s">
        <v>31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3">
      <c r="A103">
        <f>0</f>
        <v>0</v>
      </c>
      <c r="B103">
        <v>0</v>
      </c>
      <c r="C103">
        <v>0</v>
      </c>
      <c r="D103">
        <f t="shared" ref="D103:D117" si="189">G103*A103+H103*B103+I103</f>
        <v>-1.3469142821384872</v>
      </c>
      <c r="E103">
        <f t="shared" ref="E103" si="190">1/(1+EXP(-D103))</f>
        <v>0.20637530678659063</v>
      </c>
      <c r="F103">
        <f t="shared" ref="F103:F106" si="191">C103-E103</f>
        <v>-0.20637530678659063</v>
      </c>
      <c r="G103">
        <f t="shared" ref="G103:I103" si="192">J101</f>
        <v>3.8883948446438525</v>
      </c>
      <c r="H103">
        <f t="shared" si="192"/>
        <v>4.0657090932859692</v>
      </c>
      <c r="I103">
        <f t="shared" si="192"/>
        <v>-1.3469142821384872</v>
      </c>
      <c r="J103">
        <f t="shared" ref="J103:J117" si="193">G103+F103*A103</f>
        <v>3.8883948446438525</v>
      </c>
      <c r="K103">
        <f t="shared" ref="K103:K117" si="194">H103+F103*B103</f>
        <v>4.0657090932859692</v>
      </c>
      <c r="L103" s="3">
        <f t="shared" ref="L103:L117" si="195">I103+F103</f>
        <v>-1.5532895889250777</v>
      </c>
    </row>
    <row r="104" spans="1:12" x14ac:dyDescent="0.3">
      <c r="A104">
        <v>0</v>
      </c>
      <c r="B104">
        <v>1</v>
      </c>
      <c r="C104">
        <v>1</v>
      </c>
      <c r="D104">
        <f t="shared" si="189"/>
        <v>2.5124195043608912</v>
      </c>
      <c r="E104">
        <f t="shared" si="140"/>
        <v>0.92500790006932854</v>
      </c>
      <c r="F104">
        <f t="shared" si="191"/>
        <v>7.4992099930671463E-2</v>
      </c>
      <c r="G104">
        <f t="shared" ref="G104:G117" si="196">J103</f>
        <v>3.8883948446438525</v>
      </c>
      <c r="H104">
        <f t="shared" ref="H104:H117" si="197">K103</f>
        <v>4.0657090932859692</v>
      </c>
      <c r="I104">
        <f t="shared" ref="I104:I117" si="198">L103</f>
        <v>-1.5532895889250777</v>
      </c>
      <c r="J104">
        <f t="shared" si="193"/>
        <v>3.8883948446438525</v>
      </c>
      <c r="K104">
        <f t="shared" si="194"/>
        <v>4.1407011932166409</v>
      </c>
      <c r="L104" s="3">
        <f t="shared" si="195"/>
        <v>-1.4782974889944063</v>
      </c>
    </row>
    <row r="105" spans="1:12" x14ac:dyDescent="0.3">
      <c r="A105">
        <v>1</v>
      </c>
      <c r="B105">
        <v>0</v>
      </c>
      <c r="C105">
        <v>1</v>
      </c>
      <c r="D105">
        <f t="shared" si="189"/>
        <v>2.4100973556494463</v>
      </c>
      <c r="E105">
        <f t="shared" si="140"/>
        <v>0.91759404373970777</v>
      </c>
      <c r="F105">
        <f t="shared" si="191"/>
        <v>8.2405956260292235E-2</v>
      </c>
      <c r="G105">
        <f t="shared" si="196"/>
        <v>3.8883948446438525</v>
      </c>
      <c r="H105">
        <f t="shared" si="197"/>
        <v>4.1407011932166409</v>
      </c>
      <c r="I105">
        <f t="shared" si="198"/>
        <v>-1.4782974889944063</v>
      </c>
      <c r="J105">
        <f t="shared" si="193"/>
        <v>3.9708008009041449</v>
      </c>
      <c r="K105">
        <f t="shared" si="194"/>
        <v>4.1407011932166409</v>
      </c>
      <c r="L105" s="3">
        <f t="shared" si="195"/>
        <v>-1.3958915327341139</v>
      </c>
    </row>
    <row r="106" spans="1:12" x14ac:dyDescent="0.3">
      <c r="A106">
        <v>1</v>
      </c>
      <c r="B106">
        <v>1</v>
      </c>
      <c r="C106">
        <v>1</v>
      </c>
      <c r="D106">
        <f t="shared" si="189"/>
        <v>6.7156104613866727</v>
      </c>
      <c r="E106">
        <f t="shared" si="140"/>
        <v>0.99878962079232048</v>
      </c>
      <c r="F106">
        <f t="shared" si="191"/>
        <v>1.2103792076795239E-3</v>
      </c>
      <c r="G106">
        <f t="shared" si="196"/>
        <v>3.9708008009041449</v>
      </c>
      <c r="H106">
        <f t="shared" si="197"/>
        <v>4.1407011932166409</v>
      </c>
      <c r="I106">
        <f t="shared" si="198"/>
        <v>-1.3958915327341139</v>
      </c>
      <c r="J106">
        <f t="shared" si="193"/>
        <v>3.9720111801118243</v>
      </c>
      <c r="K106">
        <f t="shared" si="194"/>
        <v>4.1419115724243207</v>
      </c>
      <c r="L106" s="3">
        <f t="shared" si="195"/>
        <v>-1.3946811535264345</v>
      </c>
    </row>
    <row r="107" spans="1:12" x14ac:dyDescent="0.3">
      <c r="A107" s="2" t="s">
        <v>32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3">
      <c r="A108">
        <f>0</f>
        <v>0</v>
      </c>
      <c r="B108">
        <v>0</v>
      </c>
      <c r="C108">
        <v>0</v>
      </c>
      <c r="D108">
        <f t="shared" ref="D108:D117" si="199">G108*A108+H108*B108+I108</f>
        <v>-1.3946811535264345</v>
      </c>
      <c r="E108">
        <f t="shared" ref="E108" si="200">1/(1+EXP(-D108))</f>
        <v>0.19866148880531626</v>
      </c>
      <c r="F108">
        <f t="shared" ref="F108:F111" si="201">C108-E108</f>
        <v>-0.19866148880531626</v>
      </c>
      <c r="G108">
        <f t="shared" ref="G108:I108" si="202">J106</f>
        <v>3.9720111801118243</v>
      </c>
      <c r="H108">
        <f t="shared" si="202"/>
        <v>4.1419115724243207</v>
      </c>
      <c r="I108">
        <f t="shared" si="202"/>
        <v>-1.3946811535264345</v>
      </c>
      <c r="J108">
        <f t="shared" ref="J108:J117" si="203">G108+F108*A108</f>
        <v>3.9720111801118243</v>
      </c>
      <c r="K108">
        <f t="shared" ref="K108:K117" si="204">H108+F108*B108</f>
        <v>4.1419115724243207</v>
      </c>
      <c r="L108" s="3">
        <f t="shared" ref="L108:L117" si="205">I108+F108</f>
        <v>-1.5933426423317507</v>
      </c>
    </row>
    <row r="109" spans="1:12" x14ac:dyDescent="0.3">
      <c r="A109">
        <v>0</v>
      </c>
      <c r="B109">
        <v>1</v>
      </c>
      <c r="C109">
        <v>1</v>
      </c>
      <c r="D109">
        <f t="shared" si="199"/>
        <v>2.54856893009257</v>
      </c>
      <c r="E109">
        <f t="shared" si="140"/>
        <v>0.92747731524225141</v>
      </c>
      <c r="F109">
        <f t="shared" si="201"/>
        <v>7.252268475774859E-2</v>
      </c>
      <c r="G109">
        <f t="shared" ref="G109:G117" si="206">J108</f>
        <v>3.9720111801118243</v>
      </c>
      <c r="H109">
        <f t="shared" ref="H109:H117" si="207">K108</f>
        <v>4.1419115724243207</v>
      </c>
      <c r="I109">
        <f t="shared" ref="I109:I117" si="208">L108</f>
        <v>-1.5933426423317507</v>
      </c>
      <c r="J109">
        <f t="shared" si="203"/>
        <v>3.9720111801118243</v>
      </c>
      <c r="K109">
        <f t="shared" si="204"/>
        <v>4.2144342571820692</v>
      </c>
      <c r="L109" s="3">
        <f t="shared" si="205"/>
        <v>-1.5208199575740022</v>
      </c>
    </row>
    <row r="110" spans="1:12" x14ac:dyDescent="0.3">
      <c r="A110">
        <v>1</v>
      </c>
      <c r="B110">
        <v>0</v>
      </c>
      <c r="C110">
        <v>1</v>
      </c>
      <c r="D110">
        <f t="shared" si="199"/>
        <v>2.4511912225378221</v>
      </c>
      <c r="E110">
        <f t="shared" si="140"/>
        <v>0.92064851898658595</v>
      </c>
      <c r="F110">
        <f t="shared" si="201"/>
        <v>7.9351481013414049E-2</v>
      </c>
      <c r="G110">
        <f t="shared" si="206"/>
        <v>3.9720111801118243</v>
      </c>
      <c r="H110">
        <f t="shared" si="207"/>
        <v>4.2144342571820692</v>
      </c>
      <c r="I110">
        <f t="shared" si="208"/>
        <v>-1.5208199575740022</v>
      </c>
      <c r="J110">
        <f t="shared" si="203"/>
        <v>4.0513626611252382</v>
      </c>
      <c r="K110">
        <f t="shared" si="204"/>
        <v>4.2144342571820692</v>
      </c>
      <c r="L110" s="3">
        <f t="shared" si="205"/>
        <v>-1.4414684765605883</v>
      </c>
    </row>
    <row r="111" spans="1:12" x14ac:dyDescent="0.3">
      <c r="A111">
        <v>1</v>
      </c>
      <c r="B111">
        <v>1</v>
      </c>
      <c r="C111">
        <v>1</v>
      </c>
      <c r="D111">
        <f t="shared" si="199"/>
        <v>6.8243284417467187</v>
      </c>
      <c r="E111">
        <f t="shared" si="140"/>
        <v>0.99891417461432352</v>
      </c>
      <c r="F111">
        <f t="shared" si="201"/>
        <v>1.0858253856764755E-3</v>
      </c>
      <c r="G111">
        <f t="shared" si="206"/>
        <v>4.0513626611252382</v>
      </c>
      <c r="H111">
        <f t="shared" si="207"/>
        <v>4.2144342571820692</v>
      </c>
      <c r="I111">
        <f t="shared" si="208"/>
        <v>-1.4414684765605883</v>
      </c>
      <c r="J111">
        <f t="shared" si="203"/>
        <v>4.0524484865109152</v>
      </c>
      <c r="K111">
        <f t="shared" si="204"/>
        <v>4.2155200825677461</v>
      </c>
      <c r="L111" s="3">
        <f t="shared" si="205"/>
        <v>-1.4403826511749118</v>
      </c>
    </row>
    <row r="112" spans="1:12" x14ac:dyDescent="0.3">
      <c r="A112" s="2" t="s">
        <v>33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3">
      <c r="A113">
        <f>0</f>
        <v>0</v>
      </c>
      <c r="B113">
        <v>0</v>
      </c>
      <c r="C113">
        <v>0</v>
      </c>
      <c r="D113">
        <f t="shared" ref="D113:D116" si="209">G113*A113+H113*B113+I113</f>
        <v>-1.4403826511749118</v>
      </c>
      <c r="E113">
        <f t="shared" ref="E113" si="210">1/(1+EXP(-D113))</f>
        <v>0.19148609982908671</v>
      </c>
      <c r="F113">
        <f t="shared" ref="F113:F116" si="211">C113-E113</f>
        <v>-0.19148609982908671</v>
      </c>
      <c r="G113">
        <f t="shared" ref="G113:I113" si="212">J111</f>
        <v>4.0524484865109152</v>
      </c>
      <c r="H113">
        <f t="shared" si="212"/>
        <v>4.2155200825677461</v>
      </c>
      <c r="I113">
        <f t="shared" si="212"/>
        <v>-1.4403826511749118</v>
      </c>
      <c r="J113">
        <f t="shared" ref="J113:J116" si="213">G113+F113*A113</f>
        <v>4.0524484865109152</v>
      </c>
      <c r="K113">
        <f t="shared" ref="K113:K116" si="214">H113+F113*B113</f>
        <v>4.2155200825677461</v>
      </c>
      <c r="L113" s="3">
        <f t="shared" ref="L113:L116" si="215">I113+F113</f>
        <v>-1.6318687510039984</v>
      </c>
    </row>
    <row r="114" spans="1:12" x14ac:dyDescent="0.3">
      <c r="A114">
        <v>0</v>
      </c>
      <c r="B114">
        <v>1</v>
      </c>
      <c r="C114">
        <v>1</v>
      </c>
      <c r="D114">
        <f t="shared" si="209"/>
        <v>2.5836513315637477</v>
      </c>
      <c r="E114">
        <f t="shared" si="140"/>
        <v>0.92980196683662653</v>
      </c>
      <c r="F114">
        <f t="shared" si="211"/>
        <v>7.0198033163373474E-2</v>
      </c>
      <c r="G114">
        <f t="shared" ref="G114:G116" si="216">J113</f>
        <v>4.0524484865109152</v>
      </c>
      <c r="H114">
        <f t="shared" ref="H114:H116" si="217">K113</f>
        <v>4.2155200825677461</v>
      </c>
      <c r="I114">
        <f t="shared" ref="I114:I116" si="218">L113</f>
        <v>-1.6318687510039984</v>
      </c>
      <c r="J114">
        <f t="shared" si="213"/>
        <v>4.0524484865109152</v>
      </c>
      <c r="K114">
        <f t="shared" si="214"/>
        <v>4.2857181157311199</v>
      </c>
      <c r="L114" s="3">
        <f t="shared" si="215"/>
        <v>-1.5616707178406251</v>
      </c>
    </row>
    <row r="115" spans="1:12" x14ac:dyDescent="0.3">
      <c r="A115">
        <v>1</v>
      </c>
      <c r="B115">
        <v>0</v>
      </c>
      <c r="C115">
        <v>1</v>
      </c>
      <c r="D115">
        <f t="shared" si="209"/>
        <v>2.4907777686702901</v>
      </c>
      <c r="E115">
        <f t="shared" si="140"/>
        <v>0.92349277311894673</v>
      </c>
      <c r="F115">
        <f t="shared" si="211"/>
        <v>7.650722688105327E-2</v>
      </c>
      <c r="G115">
        <f t="shared" si="216"/>
        <v>4.0524484865109152</v>
      </c>
      <c r="H115">
        <f t="shared" si="217"/>
        <v>4.2857181157311199</v>
      </c>
      <c r="I115">
        <f t="shared" si="218"/>
        <v>-1.5616707178406251</v>
      </c>
      <c r="J115">
        <f t="shared" si="213"/>
        <v>4.1289557133919681</v>
      </c>
      <c r="K115">
        <f t="shared" si="214"/>
        <v>4.2857181157311199</v>
      </c>
      <c r="L115" s="3">
        <f t="shared" si="215"/>
        <v>-1.4851634909595717</v>
      </c>
    </row>
    <row r="116" spans="1:12" x14ac:dyDescent="0.3">
      <c r="A116">
        <v>1</v>
      </c>
      <c r="B116">
        <v>1</v>
      </c>
      <c r="C116">
        <v>1</v>
      </c>
      <c r="D116">
        <f t="shared" si="209"/>
        <v>6.9295103381635172</v>
      </c>
      <c r="E116">
        <f t="shared" si="140"/>
        <v>0.99902247661160037</v>
      </c>
      <c r="F116">
        <f t="shared" si="211"/>
        <v>9.7752338839962594E-4</v>
      </c>
      <c r="G116">
        <f t="shared" si="216"/>
        <v>4.1289557133919681</v>
      </c>
      <c r="H116">
        <f t="shared" si="217"/>
        <v>4.2857181157311199</v>
      </c>
      <c r="I116">
        <f t="shared" si="218"/>
        <v>-1.4851634909595717</v>
      </c>
      <c r="J116">
        <f t="shared" si="213"/>
        <v>4.1299332367803681</v>
      </c>
      <c r="K116">
        <f t="shared" si="214"/>
        <v>4.2866956391195199</v>
      </c>
      <c r="L116" s="3">
        <f t="shared" si="215"/>
        <v>-1.4841859675711722</v>
      </c>
    </row>
    <row r="117" spans="1:12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3">
      <c r="L118" s="3"/>
    </row>
    <row r="119" spans="1:12" x14ac:dyDescent="0.3">
      <c r="D119" s="4"/>
      <c r="L119" s="3"/>
    </row>
    <row r="120" spans="1:12" x14ac:dyDescent="0.3">
      <c r="L120" s="3"/>
    </row>
    <row r="121" spans="1:12" x14ac:dyDescent="0.3">
      <c r="L121" s="3"/>
    </row>
    <row r="122" spans="1:12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</sheetData>
  <mergeCells count="1">
    <mergeCell ref="A1:L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Bremdows</cp:lastModifiedBy>
  <dcterms:created xsi:type="dcterms:W3CDTF">2026-03-05T22:14:42Z</dcterms:created>
  <dcterms:modified xsi:type="dcterms:W3CDTF">2026-03-06T15:03:12Z</dcterms:modified>
</cp:coreProperties>
</file>